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Bills" sheetId="1" state="visible" r:id="rId1"/>
    <sheet name="Summary" sheetId="2" state="visible" r:id="rId2"/>
    <sheet name="Extraction Details" sheetId="3" state="visible" r:id="rId3"/>
  </sheets>
  <definedNames>
    <definedName name="_xlnm._FilterDatabase" localSheetId="0" hidden="1">'Extracted Bills'!$A$1:$BM$12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M12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15" customWidth="1" min="1" max="1"/>
    <s:col width="12" customWidth="1" min="2" max="2"/>
    <s:col width="13" customWidth="1" min="3" max="3"/>
    <s:col width="17" customWidth="1" min="4" max="4"/>
    <s:col width="17" customWidth="1" min="5" max="5"/>
    <s:col width="19" customWidth="1" min="6" max="6"/>
    <s:col width="16" customWidth="1" min="7" max="7"/>
    <s:col width="12" customWidth="1" min="8" max="8"/>
    <s:col width="22" customWidth="1" min="9" max="9"/>
    <s:col width="23" customWidth="1" min="10" max="10"/>
    <s:col width="17" customWidth="1" min="11" max="11"/>
    <s:col width="21" customWidth="1" min="12" max="12"/>
    <s:col width="12" customWidth="1" min="13" max="13"/>
    <s:col width="21" customWidth="1" min="14" max="14"/>
    <s:col width="20" customWidth="1" min="15" max="15"/>
    <s:col width="27" customWidth="1" min="16" max="16"/>
    <s:col width="17" customWidth="1" min="17" max="17"/>
    <s:col width="24" customWidth="1" min="18" max="18"/>
    <s:col width="20" customWidth="1" min="19" max="19"/>
    <s:col width="23" customWidth="1" min="20" max="20"/>
    <s:col width="28" customWidth="1" min="21" max="21"/>
    <s:col width="22" customWidth="1" min="22" max="22"/>
    <s:col width="34" customWidth="1" min="23" max="23"/>
    <s:col width="23" customWidth="1" min="24" max="24"/>
    <s:col width="17" customWidth="1" min="25" max="25"/>
    <s:col width="21" customWidth="1" min="26" max="26"/>
    <s:col width="23" customWidth="1" min="27" max="27"/>
    <s:col width="21" customWidth="1" min="28" max="28"/>
    <s:col width="20" customWidth="1" min="29" max="29"/>
    <s:col width="16" customWidth="1" min="30" max="30"/>
    <s:col width="21" customWidth="1" min="31" max="31"/>
    <s:col width="12" customWidth="1" min="32" max="32"/>
    <s:col width="15" customWidth="1" min="33" max="33"/>
    <s:col width="12" customWidth="1" min="34" max="34"/>
    <s:col width="17" customWidth="1" min="35" max="35"/>
    <s:col width="14" customWidth="1" min="36" max="36"/>
    <s:col width="12" customWidth="1" min="37" max="37"/>
    <s:col width="13" customWidth="1" min="38" max="38"/>
    <s:col width="22" customWidth="1" min="39" max="39"/>
    <s:col width="34" customWidth="1" min="40" max="40"/>
    <s:col width="27" customWidth="1" min="41" max="41"/>
    <s:col width="18" customWidth="1" min="42" max="42"/>
    <s:col width="20" customWidth="1" min="43" max="43"/>
    <s:col width="27" customWidth="1" min="44" max="44"/>
    <s:col width="33" customWidth="1" min="45" max="45"/>
    <s:col width="22" customWidth="1" min="46" max="46"/>
    <s:col width="18" customWidth="1" min="47" max="47"/>
    <s:col width="15" customWidth="1" min="48" max="48"/>
    <s:col width="26" customWidth="1" min="49" max="49"/>
    <s:col width="20" customWidth="1" min="50" max="50"/>
    <s:col width="13" customWidth="1" min="51" max="51"/>
    <s:col width="14" customWidth="1" min="52" max="52"/>
    <s:col width="25" customWidth="1" min="53" max="53"/>
    <s:col width="27" customWidth="1" min="54" max="54"/>
    <s:col width="21" customWidth="1" min="55" max="55"/>
    <s:col width="25" customWidth="1" min="56" max="56"/>
    <s:col width="24" customWidth="1" min="57" max="57"/>
    <s:col width="21" customWidth="1" min="58" max="58"/>
    <s:col width="13" customWidth="1" min="59" max="59"/>
    <s:col width="12" customWidth="1" min="60" max="60"/>
    <s:col width="20" customWidth="1" min="61" max="61"/>
    <s:col width="34" customWidth="1" min="62" max="62"/>
    <s:col width="34" customWidth="1" min="63" max="63"/>
    <s:col width="34" customWidth="1" min="64" max="64"/>
    <s:col width="27" customWidth="1" min="65" max="65"/>
  </s:cols>
  <s:sheetData>
    <s:row r="1">
      <s:c r="A1" s="1" t="inlineStr">
        <s:is>
          <s:t>Billing Month</s:t>
        </s:is>
      </s:c>
      <s:c r="B1" s="1" t="inlineStr">
        <s:is>
          <s:t>Meter No.</s:t>
        </s:is>
      </s:c>
      <s:c r="C1" s="1" t="inlineStr">
        <s:is>
          <s:t>Customer ID</s:t>
        </s:is>
      </s:c>
      <s:c r="D1" s="1" t="inlineStr">
        <s:is>
          <s:t>Tarrif Category</s:t>
        </s:is>
      </s:c>
      <s:c r="E1" s="1" t="inlineStr">
        <s:is>
          <s:t>Contract Demand</s:t>
        </s:is>
      </s:c>
      <s:c r="F1" s="1" t="inlineStr">
        <s:is>
          <s:t>Actual Max demand</s:t>
        </s:is>
      </s:c>
      <s:c r="G1" s="1" t="inlineStr">
        <s:is>
          <s:t>Billing Demand</s:t>
        </s:is>
      </s:c>
      <s:c r="H1" s="1" t="inlineStr">
        <s:is>
          <s:t>Avg PF %</s:t>
        </s:is>
      </s:c>
      <s:c r="I1" s="1" t="inlineStr">
        <s:is>
          <s:t>kWh (Units) Consumed</s:t>
        </s:is>
      </s:c>
      <s:c r="J1" s="1" t="inlineStr">
        <s:is>
          <s:t>% Increase in kWh</s:t>
        </s:is>
      </s:c>
      <s:c r="K1" s="1" t="inlineStr">
        <s:is>
          <s:t>Night Hr. Units</s:t>
        </s:is>
      </s:c>
      <s:c r="L1" s="1" t="inlineStr">
        <s:is>
          <s:t>% of Total units</s:t>
        </s:is>
      </s:c>
      <s:c r="M1" s="1" t="inlineStr">
        <s:is>
          <s:t>TOU kWh</s:t>
        </s:is>
      </s:c>
      <s:c r="N1" s="1" t="inlineStr">
        <s:is>
          <s:t>% of Total units</s:t>
        </s:is>
      </s:c>
      <s:c r="O1" s="1" t="inlineStr">
        <s:is>
          <s:t>1/3 of Total Units</s:t>
        </s:is>
      </s:c>
      <s:c r="P1" s="1" t="inlineStr">
        <s:is>
          <s:t>E. Night Concession Units</s:t>
        </s:is>
      </s:c>
      <s:c r="Q1" s="1" t="inlineStr">
        <s:is>
          <s:t>Solar Gen Units</s:t>
        </s:is>
      </s:c>
      <s:c r="R1" s="1" t="inlineStr">
        <s:is>
          <s:t>Solar Net Billed Units</s:t>
        </s:is>
      </s:c>
      <s:c r="S1" s="1" t="inlineStr">
        <s:is>
          <s:t>Solar Setoff Units</s:t>
        </s:is>
      </s:c>
      <s:c r="T1" s="1" t="inlineStr">
        <s:is>
          <s:t>Solar Set-off units %</s:t>
        </s:is>
      </s:c>
      <s:c r="U1" s="1" t="inlineStr">
        <s:is>
          <s:t>Solar Surplus/Export Units</s:t>
        </s:is>
      </s:c>
      <s:c r="V1" s="1" t="inlineStr">
        <s:is>
          <s:t>Solar Surplus %</s:t>
        </s:is>
      </s:c>
      <s:c r="W1" s="1" t="inlineStr">
        <s:is>
          <s:t>Solar Gen. Units considered for banking charges</s:t>
        </s:is>
      </s:c>
      <s:c r="X1" s="1" t="inlineStr">
        <s:is>
          <s:t>Solar Banking Units %</s:t>
        </s:is>
      </s:c>
      <s:c r="Y1" s="1" t="inlineStr">
        <s:is>
          <s:t>Demand Charges</s:t>
        </s:is>
      </s:c>
      <s:c r="Z1" s="1" t="inlineStr">
        <s:is>
          <s:t>Demand Charges %</s:t>
        </s:is>
      </s:c>
      <s:c r="AA1" s="1" t="inlineStr">
        <s:is>
          <s:t>Excess Demand Charges</s:t>
        </s:is>
      </s:c>
      <s:c r="AB1" s="1" t="inlineStr">
        <s:is>
          <s:t>Energy Charges (Rs)</s:t>
        </s:is>
      </s:c>
      <s:c r="AC1" s="1" t="inlineStr">
        <s:is>
          <s:t>Energy Charges %</s:t>
        </s:is>
      </s:c>
      <s:c r="AD1" s="1" t="inlineStr">
        <s:is>
          <s:t>Fuel Surcharge</s:t>
        </s:is>
      </s:c>
      <s:c r="AE1" s="1" t="inlineStr">
        <s:is>
          <s:t>Fuel Surcharge %</s:t>
        </s:is>
      </s:c>
      <s:c r="AF1" s="1" t="inlineStr">
        <s:is>
          <s:t>Base FPPAS</s:t>
        </s:is>
      </s:c>
      <s:c r="AG1" s="1" t="inlineStr">
        <s:is>
          <s:t>FPPAS Charges</s:t>
        </s:is>
      </s:c>
      <s:c r="AH1" s="1" t="inlineStr">
        <s:is>
          <s:t>FPPAS %</s:t>
        </s:is>
      </s:c>
      <s:c r="AI1" s="1" t="inlineStr">
        <s:is>
          <s:t>PF Adjust. (Rs)</s:t>
        </s:is>
      </s:c>
      <s:c r="AJ1" s="1" t="inlineStr">
        <s:is>
          <s:t>Night Rebate</s:t>
        </s:is>
      </s:c>
      <s:c r="AK1" s="1" t="inlineStr">
        <s:is>
          <s:t>EHV Rebate</s:t>
        </s:is>
      </s:c>
      <s:c r="AL1" s="1" t="inlineStr">
        <s:is>
          <s:t>TOU Charges</s:t>
        </s:is>
      </s:c>
      <s:c r="AM1" s="1" t="inlineStr">
        <s:is>
          <s:t>TOU Charges %</s:t>
        </s:is>
      </s:c>
      <s:c r="AN1" s="1" t="inlineStr">
        <s:is>
          <s:t>Total Energy/Consumption Charges</s:t>
        </s:is>
      </s:c>
      <s:c r="AO1" s="1" t="inlineStr">
        <s:is>
          <s:t>Total Consumption Charges</s:t>
        </s:is>
      </s:c>
      <s:c r="AP1" s="1" t="inlineStr">
        <s:is>
          <s:t>Electricity Duty</s:t>
        </s:is>
      </s:c>
      <s:c r="AQ1" s="1" t="inlineStr">
        <s:is>
          <s:t>Current bill Month</s:t>
        </s:is>
      </s:c>
      <s:c r="AR1" s="1" t="inlineStr">
        <s:is>
          <s:t>Solar Banking (Rs1.1/kWh)</s:t>
        </s:is>
      </s:c>
      <s:c r="AS1" s="1" t="inlineStr">
        <s:is>
          <s:t>Solar Credit (Rs.2.25/kWh) (Rs)</s:t>
        </s:is>
      </s:c>
      <s:c r="AT1" s="1" t="inlineStr">
        <s:is>
          <s:t>Solar Set off Credit</s:t>
        </s:is>
      </s:c>
      <s:c r="AU1" s="1" t="inlineStr">
        <s:is>
          <s:t>Wheeling charges</s:t>
        </s:is>
      </s:c>
      <s:c r="AV1" s="1" t="inlineStr">
        <s:is>
          <s:t>Previous Dues</s:t>
        </s:is>
      </s:c>
      <s:c r="AW1" s="1" t="inlineStr">
        <s:is>
          <s:t>Electricity Duty Credits</s:t>
        </s:is>
      </s:c>
      <s:c r="AX1" s="1" t="inlineStr">
        <s:is>
          <s:t>TOU Charge Credits</s:t>
        </s:is>
      </s:c>
      <s:c r="AY1" s="1" t="inlineStr">
        <s:is>
          <s:t>TDS Credits</s:t>
        </s:is>
      </s:c>
      <s:c r="AZ1" s="1" t="inlineStr">
        <s:is>
          <s:t>Other Debits</s:t>
        </s:is>
      </s:c>
      <s:c r="BA1" s="1" t="inlineStr">
        <s:is>
          <s:t>Delayed Payment Charges</s:t>
        </s:is>
      </s:c>
      <s:c r="BB1" s="1" t="inlineStr">
        <s:is>
          <s:t>Security Deposit Interest</s:t>
        </s:is>
      </s:c>
      <s:c r="BC1" s="1" t="inlineStr">
        <s:is>
          <s:t>Other Credits</s:t>
        </s:is>
      </s:c>
      <s:c r="BD1" s="1" t="inlineStr">
        <s:is>
          <s:t>Adv Payment/ Adjustment</s:t>
        </s:is>
      </s:c>
      <s:c r="BE1" s="1" t="inlineStr">
        <s:is>
          <s:t>Formula Adv Adjustment</s:t>
        </s:is>
      </s:c>
      <s:c r="BF1" s="1" t="inlineStr">
        <s:is>
          <s:t>Outstanding Arrears</s:t>
        </s:is>
      </s:c>
      <s:c r="BG1" s="1" t="inlineStr">
        <s:is>
          <s:t>Net Payable</s:t>
        </s:is>
      </s:c>
      <s:c r="BH1" s="1" t="inlineStr">
        <s:is>
          <s:t>TCS</s:t>
        </s:is>
      </s:c>
      <s:c r="BI1" s="1" t="inlineStr">
        <s:is>
          <s:t>Total Payable (Rs)</s:t>
        </s:is>
      </s:c>
      <s:c r="BJ1" s="1" t="inlineStr">
        <s:is>
          <s:t xml:space="preserve">Total Consumption-Demand Charge Unit Rate
</s:t>
        </s:is>
      </s:c>
      <s:c r="BK1" s="1" t="inlineStr">
        <s:is>
          <s:t>Unit Rate (Total Consumption Charge)</s:t>
        </s:is>
      </s:c>
      <s:c r="BL1" s="1" t="inlineStr">
        <s:is>
          <s:t>Total Net Payable – Demand Charge Unit Rate</s:t>
        </s:is>
      </s:c>
      <s:c r="BM1" s="1" t="inlineStr">
        <s:is>
          <s:t>Unit Rate (Total Payable)</s:t>
        </s:is>
      </s:c>
    </s:row>
    <s:row r="2">
      <s:c r="A2" t="inlineStr">
        <s:is>
          <s:t>APR-2025</s:t>
        </s:is>
      </s:c>
      <s:c r="B2" t="inlineStr">
        <s:is>
          <s:t>GHB02543</s:t>
        </s:is>
      </s:c>
      <s:c r="C2" t="inlineStr">
        <s:is>
          <s:t>30591</s:t>
        </s:is>
      </s:c>
      <s:c r="D2" t="inlineStr">
        <s:is>
          <s:t>HTP-I</s:t>
        </s:is>
      </s:c>
      <s:c r="E2" t="n">
        <s:v>1525</s:v>
      </s:c>
      <s:c r="F2" t="n">
        <s:v>959</s:v>
      </s:c>
      <s:c r="G2" t="n">
        <s:v>1296</s:v>
      </s:c>
      <s:c r="H2" t="n">
        <s:v>0.99</s:v>
      </s:c>
      <s:c r="I2" t="n">
        <s:v>379550</s:v>
      </s:c>
      <s:c r="J2" t="inlineStr">
        <s:is>
          <s:t>-</s:t>
        </s:is>
      </s:c>
      <s:c r="K2" t="n">
        <s:v>124870</s:v>
      </s:c>
      <s:c r="L2" s="2" t="n">
        <s:f>IF(AND(ISNUMBER(K2),ISNUMBER(I2),I2&lt;&gt;0),K2/I2,"-")</s:f>
        <s:v>0.328994862336978</s:v>
      </s:c>
      <s:c r="M2" t="n">
        <s:v>139470</s:v>
      </s:c>
      <s:c r="N2" s="2" t="n">
        <s:f>IF(AND(ISNUMBER(M2),ISNUMBER(I2),I2&lt;&gt;0),M2/I2,"-")</s:f>
        <s:v>0.367461467527335</s:v>
      </s:c>
      <s:c r="O2" t="n">
        <s:v>126517</s:v>
      </s:c>
      <s:c r="P2" t="n">
        <s:v>124870</s:v>
      </s:c>
      <s:c r="Q2" t="n">
        <s:f>IF(COUNT(U2,W2)&gt;0,SUM(U2,W2),"-")</s:f>
        <s:v>70007</s:v>
      </s:c>
      <s:c r="R2" t="n">
        <s:f>IF(AND(ISNUMBER(I2),ISNUMBER(S2)),I2-S2,"-")</s:f>
        <s:v>377695</s:v>
      </s:c>
      <s:c r="S2" t="n">
        <s:v>1855</s:v>
      </s:c>
      <s:c r="T2" s="2" t="n">
        <s:f>IF(AND(ISNUMBER(S2),ISNUMBER(Q2),Q2&lt;&gt;0),S2/Q2,"-")</s:f>
        <s:v>0.026497350264973504</s:v>
      </s:c>
      <s:c r="U2" t="n">
        <s:v>5474</s:v>
      </s:c>
      <s:c r="V2" s="2" t="n">
        <s:f>IF(AND(ISNUMBER(U2),ISNUMBER(Q2),Q2&lt;&gt;0),U2/Q2,"-")</s:f>
        <s:v>0.0781921807819218</s:v>
      </s:c>
      <s:c r="W2" t="n">
        <s:v>64533</s:v>
      </s:c>
      <s:c r="X2" s="2" t="n">
        <s:f>IF(AND(ISNUMBER(W2),ISNUMBER(Q2),Q2&lt;&gt;0),W2/Q2,"-")</s:f>
        <s:v>0.9218078192180782</s:v>
      </s:c>
      <s:c r="Y2" t="n">
        <s:v>345600</s:v>
      </s:c>
      <s:c r="Z2" s="2" t="n">
        <s:f>IF(AND(ISNUMBER(Y2),ISNUMBER(AN2),AN2&lt;&gt;0),Y2/AN2,"-")</s:f>
        <s:v>0.11690388187187471</s:v>
      </s:c>
      <s:c r="AA2" t="n">
        <s:v>0</s:v>
      </s:c>
      <s:c r="AB2" t="n">
        <s:v>1594110</s:v>
      </s:c>
      <s:c r="AC2" s="2" t="n">
        <s:f>IF(AND(ISNUMBER(AB2),ISNUMBER(AN2),AN2&lt;&gt;0),AB2/AN2,"-")</s:f>
        <s:v>0.5392293030404346</s:v>
      </s:c>
      <s:c r="AD2" t="n">
        <s:v>929897.5</s:v>
      </s:c>
      <s:c r="AE2" s="2" t="n">
        <s:f>IF(AND(ISNUMBER(AD2),ISNUMBER(AN2),AN2&lt;&gt;0),AD2/AN2,"-")</s:f>
        <s:v>0.31455042677358686</s:v>
      </s:c>
      <s:c r="AF2" t="inlineStr">
        <s:is>
          <s:t>-</s:t>
        </s:is>
      </s:c>
      <s:c r="AG2" t="inlineStr">
        <s:is>
          <s:t>-</s:t>
        </s:is>
      </s:c>
      <s:c r="AH2" t="inlineStr">
        <s:is>
          <s:t>-</s:t>
        </s:is>
      </s:c>
      <s:c r="AI2" t="n">
        <s:v>-31882.2</s:v>
      </s:c>
      <s:c r="AJ2" t="n">
        <s:v>0</s:v>
      </s:c>
      <s:c r="AK2" t="n">
        <s:v>0</s:v>
      </s:c>
      <s:c r="AL2" t="n">
        <s:v>118549.5</s:v>
      </s:c>
      <s:c r="AM2" s="2" t="n">
        <s:f>IF(AND(ISNUMBER(AL2),ISNUMBER(AN2),AN2&lt;&gt;0),AL2/AN2,"-")</s:f>
        <s:v>0.04010097437491265</s:v>
      </s:c>
      <s:c r="AN2" t="n">
        <s:f>IF(AND(ISNUMBER(Y2),ISNUMBER(AB2)),SUM(Y2,AA2,AB2,AD2,AF2,AG2,AI2,AJ2,AK2,AL2),"-")</s:f>
        <s:v>2956274.8</s:v>
      </s:c>
      <s:c r="AO2" t="n">
        <s:v>2956274.8</s:v>
      </s:c>
      <s:c r="AP2" t="n">
        <s:v>0</s:v>
      </s:c>
      <s:c r="AQ2" t="n">
        <s:f>IF(AND(ISNUMBER(AO2)),SUM(AO2,AP2),"-")</s:f>
        <s:v>2956274.8</s:v>
      </s:c>
      <s:c r="AR2" t="n">
        <s:v>96799.5</s:v>
      </s:c>
      <s:c r="AS2" t="n">
        <s:v>-10797.47</s:v>
      </s:c>
      <s:c r="AT2" t="n">
        <s:v>-12140.98</s:v>
      </s:c>
      <s:c r="AU2" t="n">
        <s:v>0</s:v>
      </s:c>
      <s:c r="AV2" t="n">
        <s:v>0</s:v>
      </s:c>
      <s:c r="AW2" t="n">
        <s:v>0</s:v>
      </s:c>
      <s:c r="AX2" t="n">
        <s:v>0</s:v>
      </s:c>
      <s:c r="AY2" t="n">
        <s:v>-2864</s:v>
      </s:c>
      <s:c r="AZ2" t="n">
        <s:v>0</s:v>
      </s:c>
      <s:c r="BA2" t="n">
        <s:v>0</s:v>
      </s:c>
      <s:c r="BB2" t="n">
        <s:v>0</s:v>
      </s:c>
      <s:c r="BC2" t="n">
        <s:v>0</s:v>
      </s:c>
      <s:c r="BD2" t="n">
        <s:v>70181.67</s:v>
      </s:c>
      <s:c r="BE2" t="n">
        <s:f>IF(COUNT(AR2,AS2,AT2,AU2,AV2,AW2,AX2,AY2,BB2,BC2,AZ2)&gt;0,SUM(AR2,AS2,AT2,AU2,AV2,AW2,AX2,AY2,BB2,BC2,AZ2),"-")</s:f>
        <s:v>70997.05</s:v>
      </s:c>
      <s:c r="BF2" t="n">
        <s:v>0</s:v>
      </s:c>
      <s:c r="BG2" t="n">
        <s:f>IF(AND(ISNUMBER(AQ2)),SUM(AQ2,BE2,BA2,BF2),"-")</s:f>
        <s:v>3027271.8499999996</s:v>
      </s:c>
      <s:c r="BH2" t="n">
        <s:v>0</s:v>
      </s:c>
      <s:c r="BI2" t="n">
        <s:f>IF(AND(ISNUMBER(BG2)),SUM(BG2,BH2),"-")</s:f>
        <s:v>3027271.8499999996</s:v>
      </s:c>
      <s:c r="BJ2" t="n">
        <s:f>IF(AND(ISNUMBER(AN2),ISNUMBER(Y2),ISNUMBER(I2),I2&lt;&gt;0),(AN2-Y2)/I2,"-")</s:f>
        <s:v>6.878342247398234</s:v>
      </s:c>
      <s:c r="BK2" t="n">
        <s:f>IF(AND(ISNUMBER(AN2),ISNUMBER(I2),I2&lt;&gt;0),AN2/I2,"-")</s:f>
        <s:v>7.788894216835726</s:v>
      </s:c>
      <s:c r="BL2" t="n">
        <s:f>IF(AND(ISNUMBER(BI2),ISNUMBER(Y2),ISNUMBER(I2),I2&lt;&gt;0),(BI2-Y2)/I2,"-")</s:f>
        <s:v>7.065398103016729</s:v>
      </s:c>
      <s:c r="BM2" t="n">
        <s:f>IF(AND(ISNUMBER(BI2),ISNUMBER(I2),I2&lt;&gt;0),BI2/I2,"-")</s:f>
        <s:v>7.975950072454221</s:v>
      </s:c>
    </s:row>
    <s:row r="3">
      <s:c r="A3" t="inlineStr">
        <s:is>
          <s:t>MAY-2025</s:t>
        </s:is>
      </s:c>
      <s:c r="B3" t="inlineStr">
        <s:is>
          <s:t>GHB02543</s:t>
        </s:is>
      </s:c>
      <s:c r="C3" t="inlineStr">
        <s:is>
          <s:t>30591</s:t>
        </s:is>
      </s:c>
      <s:c r="D3" t="inlineStr">
        <s:is>
          <s:t>HTP-I</s:t>
        </s:is>
      </s:c>
      <s:c r="E3" t="n">
        <s:v>1525</s:v>
      </s:c>
      <s:c r="F3" t="n">
        <s:v>1105</s:v>
      </s:c>
      <s:c r="G3" t="n">
        <s:v>1296</s:v>
      </s:c>
      <s:c r="H3" t="n">
        <s:v>0.995</s:v>
      </s:c>
      <s:c r="I3" t="n">
        <s:v>426920</s:v>
      </s:c>
      <s:c r="J3" s="2" t="n">
        <s:f>IF(AND(ISNUMBER(I3),ISNUMBER(I2),I2&lt;&gt;0),(I3-I2)/I2,"-")</s:f>
        <s:v>0.12480569094980898</s:v>
      </s:c>
      <s:c r="K3" t="n">
        <s:v>148910</s:v>
      </s:c>
      <s:c r="L3" s="2" t="n">
        <s:f>IF(AND(ISNUMBER(K3),ISNUMBER(I3),I3&lt;&gt;0),K3/I3,"-")</s:f>
        <s:v>0.34880071207720414</s:v>
      </s:c>
      <s:c r="M3" t="n">
        <s:v>146240</s:v>
      </s:c>
      <s:c r="N3" s="2" t="n">
        <s:f>IF(AND(ISNUMBER(M3),ISNUMBER(I3),I3&lt;&gt;0),M3/I3,"-")</s:f>
        <s:v>0.3425466129485618</s:v>
      </s:c>
      <s:c r="O3" t="n">
        <s:v>142307</s:v>
      </s:c>
      <s:c r="P3" t="n">
        <s:v>148910</s:v>
      </s:c>
      <s:c r="Q3" t="n">
        <s:f>IF(COUNT(U3,W3)&gt;0,SUM(U3,W3),"-")</s:f>
        <s:v>80749</s:v>
      </s:c>
      <s:c r="R3" t="n">
        <s:f>IF(AND(ISNUMBER(I3),ISNUMBER(S3)),I3-S3,"-")</s:f>
        <s:v>425565</s:v>
      </s:c>
      <s:c r="S3" t="n">
        <s:v>1355</s:v>
      </s:c>
      <s:c r="T3" s="2" t="n">
        <s:f>IF(AND(ISNUMBER(S3),ISNUMBER(Q3),Q3&lt;&gt;0),S3/Q3,"-")</s:f>
        <s:v>0.01678039356524539</s:v>
      </s:c>
      <s:c r="U3" t="n">
        <s:v>5178</s:v>
      </s:c>
      <s:c r="V3" s="2" t="n">
        <s:f>IF(AND(ISNUMBER(U3),ISNUMBER(Q3),Q3&lt;&gt;0),U3/Q3,"-")</s:f>
        <s:v>0.06412463312239161</s:v>
      </s:c>
      <s:c r="W3" t="n">
        <s:v>75571</s:v>
      </s:c>
      <s:c r="X3" s="2" t="n">
        <s:f>IF(AND(ISNUMBER(W3),ISNUMBER(Q3),Q3&lt;&gt;0),W3/Q3,"-")</s:f>
        <s:v>0.9358753668776084</s:v>
      </s:c>
      <s:c r="Y3" t="n">
        <s:v>345600</s:v>
      </s:c>
      <s:c r="Z3" s="2" t="n">
        <s:f>IF(AND(ISNUMBER(Y3),ISNUMBER(AN3),AN3&lt;&gt;0),Y3/AN3,"-")</s:f>
        <s:v>0.10631728248153102</s:v>
      </s:c>
      <s:c r="AA3" t="n">
        <s:v>0</s:v>
      </s:c>
      <s:c r="AB3" t="n">
        <s:v>1793064</s:v>
      </s:c>
      <s:c r="AC3" s="2" t="n">
        <s:f>IF(AND(ISNUMBER(AB3),ISNUMBER(AN3),AN3&lt;&gt;0),AB3/AN3,"-")</s:f>
        <s:v>0.5516021174637267</s:v>
      </s:c>
      <s:c r="AD3" t="n">
        <s:v>1045954</s:v>
      </s:c>
      <s:c r="AE3" s="2" t="n">
        <s:f>IF(AND(ISNUMBER(AD3),ISNUMBER(AN3),AN3&lt;&gt;0),AD3/AN3,"-")</s:f>
        <s:v>0.3217679018538406</s:v>
      </s:c>
      <s:c r="AF3" t="inlineStr">
        <s:is>
          <s:t>-</s:t>
        </s:is>
      </s:c>
      <s:c r="AG3" t="inlineStr">
        <s:is>
          <s:t>-</s:t>
        </s:is>
      </s:c>
      <s:c r="AH3" t="inlineStr">
        <s:is>
          <s:t>-</s:t>
        </s:is>
      </s:c>
      <s:c r="AI3" t="n">
        <s:v>-40343.94</s:v>
      </s:c>
      <s:c r="AJ3" t="n">
        <s:v>0</s:v>
      </s:c>
      <s:c r="AK3" t="n">
        <s:v>-17930.64</s:v>
      </s:c>
      <s:c r="AL3" t="n">
        <s:v>124304</s:v>
      </s:c>
      <s:c r="AM3" s="2" t="n">
        <s:f>IF(AND(ISNUMBER(AL3),ISNUMBER(AN3),AN3&lt;&gt;0),AL3/AN3,"-")</s:f>
        <s:v>0.03823976701847289</s:v>
      </s:c>
      <s:c r="AN3" t="n">
        <s:f>IF(AND(ISNUMBER(Y3),ISNUMBER(AB3)),SUM(Y3,AA3,AB3,AD3,AF3,AG3,AI3,AJ3,AK3,AL3),"-")</s:f>
        <s:v>3250647.42</s:v>
      </s:c>
      <s:c r="AO3" t="n">
        <s:v>3250647.42</s:v>
      </s:c>
      <s:c r="AP3" t="n">
        <s:v>0</s:v>
      </s:c>
      <s:c r="AQ3" t="n">
        <s:f>IF(AND(ISNUMBER(AO3)),SUM(AO3,AP3),"-")</s:f>
        <s:v>3250647.42</s:v>
      </s:c>
      <s:c r="AR3" t="n">
        <s:v>113356.5</s:v>
      </s:c>
      <s:c r="AS3" t="n">
        <s:v>-10213.61</s:v>
      </s:c>
      <s:c r="AT3" t="n">
        <s:v>-8811.57</s:v>
      </s:c>
      <s:c r="AU3" t="n">
        <s:v>0</s:v>
      </s:c>
      <s:c r="AV3" t="n">
        <s:v>0</s:v>
      </s:c>
      <s:c r="AW3" t="n">
        <s:v>0</s:v>
      </s:c>
      <s:c r="AX3" t="n">
        <s:v>0</s:v>
      </s:c>
      <s:c r="AY3" t="n">
        <s:v>0</s:v>
      </s:c>
      <s:c r="AZ3" t="n">
        <s:v>0</s:v>
      </s:c>
      <s:c r="BA3" t="n">
        <s:v>0</s:v>
      </s:c>
      <s:c r="BB3" t="n">
        <s:v>0</s:v>
      </s:c>
      <s:c r="BC3" t="n">
        <s:v>-7199</s:v>
      </s:c>
      <s:c r="BD3" t="n">
        <s:v>86482.78999999999</s:v>
      </s:c>
      <s:c r="BE3" t="n">
        <s:f>IF(COUNT(AR3,AS3,AT3,AU3,AV3,AW3,AX3,AY3,BB3,BC3,AZ3)&gt;0,SUM(AR3,AS3,AT3,AU3,AV3,AW3,AX3,AY3,BB3,BC3,AZ3),"-")</s:f>
        <s:v>87132.32</s:v>
      </s:c>
      <s:c r="BF3" t="n">
        <s:v>0</s:v>
      </s:c>
      <s:c r="BG3" t="n">
        <s:f>IF(AND(ISNUMBER(AQ3)),SUM(AQ3,BE3,BA3,BF3),"-")</s:f>
        <s:v>3337779.7399999998</s:v>
      </s:c>
      <s:c r="BH3" t="n">
        <s:v>0</s:v>
      </s:c>
      <s:c r="BI3" t="n">
        <s:f>IF(AND(ISNUMBER(BG3)),SUM(BG3,BH3),"-")</s:f>
        <s:v>3337779.7399999998</s:v>
      </s:c>
      <s:c r="BJ3" t="n">
        <s:f>IF(AND(ISNUMBER(AN3),ISNUMBER(Y3),ISNUMBER(I3),I3&lt;&gt;0),(AN3-Y3)/I3,"-")</s:f>
        <s:v>6.804664621006277</s:v>
      </s:c>
      <s:c r="BK3" t="n">
        <s:f>IF(AND(ISNUMBER(AN3),ISNUMBER(I3),I3&lt;&gt;0),AN3/I3,"-")</s:f>
        <s:v>7.614183968893469</s:v>
      </s:c>
      <s:c r="BL3" t="n">
        <s:f>IF(AND(ISNUMBER(BI3),ISNUMBER(Y3),ISNUMBER(I3),I3&lt;&gt;0),(BI3-Y3)/I3,"-")</s:f>
        <s:v>7.008759814485149</s:v>
      </s:c>
      <s:c r="BM3" t="n">
        <s:f>IF(AND(ISNUMBER(BI3),ISNUMBER(I3),I3&lt;&gt;0),BI3/I3,"-")</s:f>
        <s:v>7.818279162372341</s:v>
      </s:c>
    </s:row>
    <s:row r="4">
      <s:c r="A4" t="inlineStr">
        <s:is>
          <s:t>JUN-2025</s:t>
        </s:is>
      </s:c>
      <s:c r="B4" t="inlineStr">
        <s:is>
          <s:t>GHB02543</s:t>
        </s:is>
      </s:c>
      <s:c r="C4" t="inlineStr">
        <s:is>
          <s:t>30591</s:t>
        </s:is>
      </s:c>
      <s:c r="D4" t="inlineStr">
        <s:is>
          <s:t>HTP-I</s:t>
        </s:is>
      </s:c>
      <s:c r="E4" t="n">
        <s:v>1525</s:v>
      </s:c>
      <s:c r="F4" t="n">
        <s:v>1340</s:v>
      </s:c>
      <s:c r="G4" t="n">
        <s:v>1340</s:v>
      </s:c>
      <s:c r="H4" t="n">
        <s:v>0.989</s:v>
      </s:c>
      <s:c r="I4" t="n">
        <s:v>644150</s:v>
      </s:c>
      <s:c r="J4" s="2" t="n">
        <s:f>IF(AND(ISNUMBER(I4),ISNUMBER(I3),I3&lt;&gt;0),(I4-I3)/I3,"-")</s:f>
        <s:v>0.508830694275274</s:v>
      </s:c>
      <s:c r="K4" t="n">
        <s:v>215380</s:v>
      </s:c>
      <s:c r="L4" s="2" t="n">
        <s:f>IF(AND(ISNUMBER(K4),ISNUMBER(I4),I4&lt;&gt;0),K4/I4,"-")</s:f>
        <s:v>0.33436311418147946</s:v>
      </s:c>
      <s:c r="M4" t="n">
        <s:v>225380</s:v>
      </s:c>
      <s:c r="N4" s="2" t="n">
        <s:f>IF(AND(ISNUMBER(M4),ISNUMBER(I4),I4&lt;&gt;0),M4/I4,"-")</s:f>
        <s:v>0.3498874485756423</s:v>
      </s:c>
      <s:c r="O4" t="n">
        <s:v>214717</s:v>
      </s:c>
      <s:c r="P4" t="n">
        <s:v>215380</s:v>
      </s:c>
      <s:c r="Q4" t="n">
        <s:f>IF(COUNT(U4,W4)&gt;0,SUM(U4,W4),"-")</s:f>
        <s:v>70093</s:v>
      </s:c>
      <s:c r="R4" t="n">
        <s:f>IF(AND(ISNUMBER(I4),ISNUMBER(S4)),I4-S4,"-")</s:f>
        <s:v>643670</s:v>
      </s:c>
      <s:c r="S4" t="n">
        <s:v>480</s:v>
      </s:c>
      <s:c r="T4" s="2" t="n">
        <s:f>IF(AND(ISNUMBER(S4),ISNUMBER(Q4),Q4&lt;&gt;0),S4/Q4,"-")</s:f>
        <s:v>0.006848044740558972</s:v>
      </s:c>
      <s:c r="U4" t="n">
        <s:v>2058</s:v>
      </s:c>
      <s:c r="V4" s="2" t="n">
        <s:f>IF(AND(ISNUMBER(U4),ISNUMBER(Q4),Q4&lt;&gt;0),U4/Q4,"-")</s:f>
        <s:v>0.02936099182514659</s:v>
      </s:c>
      <s:c r="W4" t="n">
        <s:v>68035</s:v>
      </s:c>
      <s:c r="X4" s="2" t="n">
        <s:f>IF(AND(ISNUMBER(W4),ISNUMBER(Q4),Q4&lt;&gt;0),W4/Q4,"-")</s:f>
        <s:v>0.9706390081748534</s:v>
      </s:c>
      <s:c r="Y4" t="n">
        <s:v>366500</s:v>
      </s:c>
      <s:c r="Z4" s="2" t="n">
        <s:f>IF(AND(ISNUMBER(Y4),ISNUMBER(AN4),AN4&lt;&gt;0),Y4/AN4,"-")</s:f>
        <s:v>0.07696571846728532</s:v>
      </s:c>
      <s:c r="AA4" t="n">
        <s:v>0</s:v>
      </s:c>
      <s:c r="AB4" t="n">
        <s:v>2705430</s:v>
      </s:c>
      <s:c r="AC4" s="2" t="n">
        <s:f>IF(AND(ISNUMBER(AB4),ISNUMBER(AN4),AN4&lt;&gt;0),AB4/AN4,"-")</s:f>
        <s:v>0.568145603582395</s:v>
      </s:c>
      <s:c r="AD4" t="n">
        <s:v>1578167.5</s:v>
      </s:c>
      <s:c r="AE4" s="2" t="n">
        <s:f>IF(AND(ISNUMBER(AD4),ISNUMBER(AN4),AN4&lt;&gt;0),AD4/AN4,"-")</s:f>
        <s:v>0.331418268756397</s:v>
      </s:c>
      <s:c r="AF4" t="inlineStr">
        <s:is>
          <s:t>-</s:t>
        </s:is>
      </s:c>
      <s:c r="AG4" t="inlineStr">
        <s:is>
          <s:t>-</s:t>
        </s:is>
      </s:c>
      <s:c r="AH4" t="inlineStr">
        <s:is>
          <s:t>-</s:t>
        </s:is>
      </s:c>
      <s:c r="AI4" t="n">
        <s:v>-52755.89</s:v>
      </s:c>
      <s:c r="AJ4" t="n">
        <s:v>0</s:v>
      </s:c>
      <s:c r="AK4" t="n">
        <s:v>-27054.3</s:v>
      </s:c>
      <s:c r="AL4" t="n">
        <s:v>191573</s:v>
      </s:c>
      <s:c r="AM4" s="2" t="n">
        <s:f>IF(AND(ISNUMBER(AL4),ISNUMBER(AN4),AN4&lt;&gt;0),AL4/AN4,"-")</s:f>
        <s:v>0.040230705549613235</s:v>
      </s:c>
      <s:c r="AN4" t="n">
        <s:f>IF(AND(ISNUMBER(Y4),ISNUMBER(AB4)),SUM(Y4,AA4,AB4,AD4,AF4,AG4,AI4,AJ4,AK4,AL4),"-")</s:f>
        <s:v>4761860.31</s:v>
      </s:c>
      <s:c r="AO4" t="n">
        <s:v>4761860.31</s:v>
      </s:c>
      <s:c r="AP4" t="n">
        <s:v>0</s:v>
      </s:c>
      <s:c r="AQ4" t="n">
        <s:f>IF(AND(ISNUMBER(AO4)),SUM(AO4,AP4),"-")</s:f>
        <s:v>4761860.31</s:v>
      </s:c>
      <s:c r="AR4" t="n">
        <s:v>102052.5</s:v>
      </s:c>
      <s:c r="AS4" t="n">
        <s:v>-4059.41</s:v>
      </s:c>
      <s:c r="AT4" t="n">
        <s:v>-3121.44</s:v>
      </s:c>
      <s:c r="AU4" t="n">
        <s:v>0</s:v>
      </s:c>
      <s:c r="AV4" t="n">
        <s:v>0</s:v>
      </s:c>
      <s:c r="AW4" t="n">
        <s:v>0</s:v>
      </s:c>
      <s:c r="AX4" t="n">
        <s:v>0</s:v>
      </s:c>
      <s:c r="AY4" t="n">
        <s:v>-1361</s:v>
      </s:c>
      <s:c r="AZ4" t="n">
        <s:v>0</s:v>
      </s:c>
      <s:c r="BA4" t="n">
        <s:v>0</s:v>
      </s:c>
      <s:c r="BB4" t="n">
        <s:v>0</s:v>
      </s:c>
      <s:c r="BC4" t="n">
        <s:v>0</s:v>
      </s:c>
      <s:c r="BD4" t="n">
        <s:v>92860.86</s:v>
      </s:c>
      <s:c r="BE4" t="n">
        <s:f>IF(COUNT(AR4,AS4,AT4,AU4,AV4,AW4,AX4,AY4,BB4,BC4,AZ4)&gt;0,SUM(AR4,AS4,AT4,AU4,AV4,AW4,AX4,AY4,BB4,BC4,AZ4),"-")</s:f>
        <s:v>93510.65</s:v>
      </s:c>
      <s:c r="BF4" t="n">
        <s:v>0</s:v>
      </s:c>
      <s:c r="BG4" t="n">
        <s:f>IF(AND(ISNUMBER(AQ4)),SUM(AQ4,BE4,BA4,BF4),"-")</s:f>
        <s:v>4855370.96</s:v>
      </s:c>
      <s:c r="BH4" t="n">
        <s:v>0</s:v>
      </s:c>
      <s:c r="BI4" t="n">
        <s:f>IF(AND(ISNUMBER(BG4)),SUM(BG4,BH4),"-")</s:f>
        <s:v>4855370.96</s:v>
      </s:c>
      <s:c r="BJ4" t="n">
        <s:f>IF(AND(ISNUMBER(AN4),ISNUMBER(Y4),ISNUMBER(I4),I4&lt;&gt;0),(AN4-Y4)/I4,"-")</s:f>
        <s:v>6.823504323527128</s:v>
      </s:c>
      <s:c r="BK4" t="n">
        <s:f>IF(AND(ISNUMBER(AN4),ISNUMBER(I4),I4&lt;&gt;0),AN4/I4,"-")</s:f>
        <s:v>7.392471179073197</s:v>
      </s:c>
      <s:c r="BL4" t="n">
        <s:f>IF(AND(ISNUMBER(BI4),ISNUMBER(Y4),ISNUMBER(I4),I4&lt;&gt;0),(BI4-Y4)/I4,"-")</s:f>
        <s:v>6.968673383528681</s:v>
      </s:c>
      <s:c r="BM4" t="n">
        <s:f>IF(AND(ISNUMBER(BI4),ISNUMBER(I4),I4&lt;&gt;0),BI4/I4,"-")</s:f>
        <s:v>7.53764023907475</s:v>
      </s:c>
    </s:row>
    <s:row r="5">
      <s:c r="A5" t="inlineStr">
        <s:is>
          <s:t>JUL-2025</s:t>
        </s:is>
      </s:c>
      <s:c r="B5" t="inlineStr">
        <s:is>
          <s:t>GHB02543</s:t>
        </s:is>
      </s:c>
      <s:c r="C5" t="inlineStr">
        <s:is>
          <s:t>30591</s:t>
        </s:is>
      </s:c>
      <s:c r="D5" t="inlineStr">
        <s:is>
          <s:t>HTP-I</s:t>
        </s:is>
      </s:c>
      <s:c r="E5" t="n">
        <s:v>1525</s:v>
      </s:c>
      <s:c r="F5" t="n">
        <s:v>1354</s:v>
      </s:c>
      <s:c r="G5" t="n">
        <s:v>1354</s:v>
      </s:c>
      <s:c r="H5" t="n">
        <s:v>0.984</s:v>
      </s:c>
      <s:c r="I5" t="n">
        <s:v>576810</s:v>
      </s:c>
      <s:c r="J5" s="2" t="n">
        <s:f>IF(AND(ISNUMBER(I5),ISNUMBER(I4),I4&lt;&gt;0),(I5-I4)/I4,"-")</s:f>
        <s:v>-0.10454086781029263</s:v>
      </s:c>
      <s:c r="K5" t="n">
        <s:v>175320</s:v>
      </s:c>
      <s:c r="L5" s="2" t="n">
        <s:f>IF(AND(ISNUMBER(K5),ISNUMBER(I5),I5&lt;&gt;0),K5/I5,"-")</s:f>
        <s:v>0.30394757372444997</s:v>
      </s:c>
      <s:c r="M5" t="n">
        <s:v>195870</s:v>
      </s:c>
      <s:c r="N5" s="2" t="n">
        <s:f>IF(AND(ISNUMBER(M5),ISNUMBER(I5),I5&lt;&gt;0),M5/I5,"-")</s:f>
        <s:v>0.33957455661309616</s:v>
      </s:c>
      <s:c r="O5" t="n">
        <s:v>192270</s:v>
      </s:c>
      <s:c r="P5" t="n">
        <s:v>175320</s:v>
      </s:c>
      <s:c r="Q5" t="n">
        <s:f>IF(COUNT(U5,W5)&gt;0,SUM(U5,W5),"-")</s:f>
        <s:v>55584</s:v>
      </s:c>
      <s:c r="R5" t="n">
        <s:f>IF(AND(ISNUMBER(I5),ISNUMBER(S5)),I5-S5,"-")</s:f>
        <s:v>576751</s:v>
      </s:c>
      <s:c r="S5" t="n">
        <s:v>59</s:v>
      </s:c>
      <s:c r="T5" s="2" t="n">
        <s:f>IF(AND(ISNUMBER(S5),ISNUMBER(Q5),Q5&lt;&gt;0),S5/Q5,"-")</s:f>
        <s:v>0.0010614565342544618</s:v>
      </s:c>
      <s:c r="U5" t="n">
        <s:v>0</s:v>
      </s:c>
      <s:c r="V5" s="2" t="n">
        <s:f>IF(AND(ISNUMBER(U5),ISNUMBER(Q5),Q5&lt;&gt;0),U5/Q5,"-")</s:f>
        <s:v>0.0</s:v>
      </s:c>
      <s:c r="W5" t="n">
        <s:v>55584</s:v>
      </s:c>
      <s:c r="X5" s="2" t="n">
        <s:f>IF(AND(ISNUMBER(W5),ISNUMBER(Q5),Q5&lt;&gt;0),W5/Q5,"-")</s:f>
        <s:v>1.0</s:v>
      </s:c>
      <s:c r="Y5" t="n">
        <s:v>373150</s:v>
      </s:c>
      <s:c r="Z5" s="2" t="n">
        <s:f>IF(AND(ISNUMBER(Y5),ISNUMBER(AN5),AN5&lt;&gt;0),Y5/AN5,"-")</s:f>
        <s:v>0.08657740983893156</s:v>
      </s:c>
      <s:c r="AA5" t="n">
        <s:v>0</s:v>
      </s:c>
      <s:c r="AB5" t="n">
        <s:v>2422602</s:v>
      </s:c>
      <s:c r="AC5" s="2" t="n">
        <s:f>IF(AND(ISNUMBER(AB5),ISNUMBER(AN5),AN5&lt;&gt;0),AB5/AN5,"-")</s:f>
        <s:v>0.5620865770618123</s:v>
      </s:c>
      <s:c r="AD5" t="n">
        <s:v>1413184.5</s:v>
      </s:c>
      <s:c r="AE5" s="2" t="n">
        <s:f>IF(AND(ISNUMBER(AD5),ISNUMBER(AN5),AN5&lt;&gt;0),AD5/AN5,"-")</s:f>
        <s:v>0.3278838366193905</s:v>
      </s:c>
      <s:c r="AF5" t="inlineStr">
        <s:is>
          <s:t>-</s:t>
        </s:is>
      </s:c>
      <s:c r="AG5" t="inlineStr">
        <s:is>
          <s:t>-</s:t>
        </s:is>
      </s:c>
      <s:c r="AH5" t="inlineStr">
        <s:is>
          <s:t>-</s:t>
        </s:is>
      </s:c>
      <s:c r="AI5" t="n">
        <s:v>-41184.23</s:v>
      </s:c>
      <s:c r="AJ5" t="n">
        <s:v>0</s:v>
      </s:c>
      <s:c r="AK5" t="n">
        <s:v>-24226.02</s:v>
      </s:c>
      <s:c r="AL5" t="n">
        <s:v>166489.5</s:v>
      </s:c>
      <s:c r="AM5" s="2" t="n">
        <s:f>IF(AND(ISNUMBER(AL5),ISNUMBER(AN5),AN5&lt;&gt;0),AL5/AN5,"-")</s:f>
        <s:v>0.03862851313246361</s:v>
      </s:c>
      <s:c r="AN5" t="n">
        <s:f>IF(AND(ISNUMBER(Y5),ISNUMBER(AB5)),SUM(Y5,AA5,AB5,AD5,AF5,AG5,AI5,AJ5,AK5,AL5),"-")</s:f>
        <s:v>4310015.75</s:v>
      </s:c>
      <s:c r="AO5" t="n">
        <s:v>4310015.75</s:v>
      </s:c>
      <s:c r="AP5" t="n">
        <s:v>0</s:v>
      </s:c>
      <s:c r="AQ5" t="n">
        <s:f>IF(AND(ISNUMBER(AO5)),SUM(AO5,AP5),"-")</s:f>
        <s:v>4310015.75</s:v>
      </s:c>
      <s:c r="AR5" t="n">
        <s:v>83376</s:v>
      </s:c>
      <s:c r="AS5" t="n">
        <s:v>0</s:v>
      </s:c>
      <s:c r="AT5" t="n">
        <s:v>-383.68</s:v>
      </s:c>
      <s:c r="AU5" t="n">
        <s:v>0</s:v>
      </s:c>
      <s:c r="AV5" t="n">
        <s:v>0</s:v>
      </s:c>
      <s:c r="AW5" t="n">
        <s:v>0</s:v>
      </s:c>
      <s:c r="AX5" t="n">
        <s:v>0</s:v>
      </s:c>
      <s:c r="AY5" t="n">
        <s:v>-4855</s:v>
      </s:c>
      <s:c r="AZ5" t="n">
        <s:v>0</s:v>
      </s:c>
      <s:c r="BA5" t="n">
        <s:v>0</s:v>
      </s:c>
      <s:c r="BB5" t="n">
        <s:v>0</s:v>
      </s:c>
      <s:c r="BC5" t="n">
        <s:v>-4801</s:v>
      </s:c>
      <s:c r="BD5" t="n">
        <s:v>73336.32000000001</s:v>
      </s:c>
      <s:c r="BE5" t="n">
        <s:f>IF(COUNT(AR5,AS5,AT5,AU5,AV5,AW5,AX5,AY5,BB5,BC5,AZ5)&gt;0,SUM(AR5,AS5,AT5,AU5,AV5,AW5,AX5,AY5,BB5,BC5,AZ5),"-")</s:f>
        <s:v>73336.32</s:v>
      </s:c>
      <s:c r="BF5" t="n">
        <s:v>2846.17</s:v>
      </s:c>
      <s:c r="BG5" t="n">
        <s:f>IF(AND(ISNUMBER(AQ5)),SUM(AQ5,BE5,BA5,BF5),"-")</s:f>
        <s:v>4386198.24</s:v>
      </s:c>
      <s:c r="BH5" t="n">
        <s:v>0</s:v>
      </s:c>
      <s:c r="BI5" t="n">
        <s:f>IF(AND(ISNUMBER(BG5)),SUM(BG5,BH5),"-")</s:f>
        <s:v>4386198.24</s:v>
      </s:c>
      <s:c r="BJ5" t="n">
        <s:f>IF(AND(ISNUMBER(AN5),ISNUMBER(Y5),ISNUMBER(I5),I5&lt;&gt;0),(AN5-Y5)/I5,"-")</s:f>
        <s:v>6.825238380055824</s:v>
      </s:c>
      <s:c r="BK5" t="n">
        <s:f>IF(AND(ISNUMBER(AN5),ISNUMBER(I5),I5&lt;&gt;0),AN5/I5,"-")</s:f>
        <s:v>7.472158509734575</s:v>
      </s:c>
      <s:c r="BL5" t="n">
        <s:f>IF(AND(ISNUMBER(BI5),ISNUMBER(Y5),ISNUMBER(I5),I5&lt;&gt;0),(BI5-Y5)/I5,"-")</s:f>
        <s:v>6.957313916194241</s:v>
      </s:c>
      <s:c r="BM5" t="n">
        <s:f>IF(AND(ISNUMBER(BI5),ISNUMBER(I5),I5&lt;&gt;0),BI5/I5,"-")</s:f>
        <s:v>7.604234045872992</s:v>
      </s:c>
    </s:row>
    <s:row r="6">
      <s:c r="A6" t="inlineStr">
        <s:is>
          <s:t>AUG-2025</s:t>
        </s:is>
      </s:c>
      <s:c r="B6" t="inlineStr">
        <s:is>
          <s:t>GHB02543</s:t>
        </s:is>
      </s:c>
      <s:c r="C6" t="inlineStr">
        <s:is>
          <s:t>30591</s:t>
        </s:is>
      </s:c>
      <s:c r="D6" t="inlineStr">
        <s:is>
          <s:t>HTP-I</s:t>
        </s:is>
      </s:c>
      <s:c r="E6" t="n">
        <s:v>1525</s:v>
      </s:c>
      <s:c r="F6" t="n">
        <s:v>1412</s:v>
      </s:c>
      <s:c r="G6" t="n">
        <s:v>1412</s:v>
      </s:c>
      <s:c r="H6" t="n">
        <s:v>0.995</s:v>
      </s:c>
      <s:c r="I6" t="n">
        <s:v>651660</s:v>
      </s:c>
      <s:c r="J6" s="2" t="n">
        <s:f>IF(AND(ISNUMBER(I6),ISNUMBER(I5),I5&lt;&gt;0),(I6-I5)/I5,"-")</s:f>
        <s:v>0.1297654340250689</s:v>
      </s:c>
      <s:c r="K6" t="n">
        <s:v>201750</s:v>
      </s:c>
      <s:c r="L6" s="2" t="n">
        <s:f>IF(AND(ISNUMBER(K6),ISNUMBER(I6),I6&lt;&gt;0),K6/I6,"-")</s:f>
        <s:v>0.30959396004051193</s:v>
      </s:c>
      <s:c r="M6" t="n">
        <s:v>227600</s:v>
      </s:c>
      <s:c r="N6" s="2" t="n">
        <s:f>IF(AND(ISNUMBER(M6),ISNUMBER(I6),I6&lt;&gt;0),M6/I6,"-")</s:f>
        <s:v>0.34926188503207195</s:v>
      </s:c>
      <s:c r="O6" t="n">
        <s:v>217220</s:v>
      </s:c>
      <s:c r="P6" t="n">
        <s:v>201750</s:v>
      </s:c>
      <s:c r="Q6" t="n">
        <s:f>IF(COUNT(U6,W6)&gt;0,SUM(U6,W6),"-")</s:f>
        <s:v>46189</s:v>
      </s:c>
      <s:c r="R6" t="n">
        <s:f>IF(AND(ISNUMBER(I6),ISNUMBER(S6)),I6-S6,"-")</s:f>
        <s:v>651117</s:v>
      </s:c>
      <s:c r="S6" t="n">
        <s:v>543</s:v>
      </s:c>
      <s:c r="T6" s="2" t="n">
        <s:f>IF(AND(ISNUMBER(S6),ISNUMBER(Q6),Q6&lt;&gt;0),S6/Q6,"-")</s:f>
        <s:v>0.011756045811773365</s:v>
      </s:c>
      <s:c r="U6" t="n">
        <s:v>736</s:v>
      </s:c>
      <s:c r="V6" s="2" t="n">
        <s:f>IF(AND(ISNUMBER(U6),ISNUMBER(Q6),Q6&lt;&gt;0),U6/Q6,"-")</s:f>
        <s:v>0.015934529866418412</s:v>
      </s:c>
      <s:c r="W6" t="n">
        <s:v>45453</s:v>
      </s:c>
      <s:c r="X6" s="2" t="n">
        <s:f>IF(AND(ISNUMBER(W6),ISNUMBER(Q6),Q6&lt;&gt;0),W6/Q6,"-")</s:f>
        <s:v>0.9840654701335816</s:v>
      </s:c>
      <s:c r="Y6" t="n">
        <s:v>400700</s:v>
      </s:c>
      <s:c r="Z6" s="2" t="n">
        <s:f>IF(AND(ISNUMBER(Y6),ISNUMBER(AN6),AN6&lt;&gt;0),Y6/AN6,"-")</s:f>
        <s:v>0.08281068757007094</s:v>
      </s:c>
      <s:c r="AA6" t="n">
        <s:v>0</s:v>
      </s:c>
      <s:c r="AB6" t="n">
        <s:v>2736972</s:v>
      </s:c>
      <s:c r="AC6" s="2" t="n">
        <s:f>IF(AND(ISNUMBER(AB6),ISNUMBER(AN6),AN6&lt;&gt;0),AB6/AN6,"-")</s:f>
        <s:v>0.5656364691291046</s:v>
      </s:c>
      <s:c r="AD6" t="n">
        <s:v>1596567</s:v>
      </s:c>
      <s:c r="AE6" s="2" t="n">
        <s:f>IF(AND(ISNUMBER(AD6),ISNUMBER(AN6),AN6&lt;&gt;0),AD6/AN6,"-")</s:f>
        <s:v>0.3299546069919777</s:v>
      </s:c>
      <s:c r="AF6" t="inlineStr">
        <s:is>
          <s:t>-</s:t>
        </s:is>
      </s:c>
      <s:c r="AG6" t="inlineStr">
        <s:is>
          <s:t>-</s:t>
        </s:is>
      </s:c>
      <s:c r="AH6" t="inlineStr">
        <s:is>
          <s:t>-</s:t>
        </s:is>
      </s:c>
      <s:c r="AI6" t="n">
        <s:v>-61581.87</s:v>
      </s:c>
      <s:c r="AJ6" t="n">
        <s:v>0</s:v>
      </s:c>
      <s:c r="AK6" t="n">
        <s:v>-27369.72</s:v>
      </s:c>
      <s:c r="AL6" t="n">
        <s:v>193460</s:v>
      </s:c>
      <s:c r="AM6" s="2" t="n">
        <s:f>IF(AND(ISNUMBER(AL6),ISNUMBER(AN6),AN6&lt;&gt;0),AL6/AN6,"-")</s:f>
        <s:v>0.039981421555542615</s:v>
      </s:c>
      <s:c r="AN6" t="n">
        <s:f>IF(AND(ISNUMBER(Y6),ISNUMBER(AB6)),SUM(Y6,AA6,AB6,AD6,AF6,AG6,AI6,AJ6,AK6,AL6),"-")</s:f>
        <s:v>4838747.41</s:v>
      </s:c>
      <s:c r="AO6" t="n">
        <s:v>4838747.41</s:v>
      </s:c>
      <s:c r="AP6" t="n">
        <s:v>0</s:v>
      </s:c>
      <s:c r="AQ6" t="n">
        <s:f>IF(AND(ISNUMBER(AO6)),SUM(AO6,AP6),"-")</s:f>
        <s:v>4838747.41</s:v>
      </s:c>
      <s:c r="AR6" t="n">
        <s:v>68179.5</s:v>
      </s:c>
      <s:c r="AS6" t="n">
        <s:v>-1451.76</s:v>
      </s:c>
      <s:c r="AT6" t="n">
        <s:v>-3531.13</s:v>
      </s:c>
      <s:c r="AU6" t="n">
        <s:v>0</s:v>
      </s:c>
      <s:c r="AV6" t="n">
        <s:v>0</s:v>
      </s:c>
      <s:c r="AW6" t="n">
        <s:v>0</s:v>
      </s:c>
      <s:c r="AX6" t="n">
        <s:v>0</s:v>
      </s:c>
      <s:c r="AY6" t="n">
        <s:v>-4384</s:v>
      </s:c>
      <s:c r="AZ6" t="n">
        <s:v>0</s:v>
      </s:c>
      <s:c r="BA6" t="n">
        <s:v>0</s:v>
      </s:c>
      <s:c r="BB6" t="n">
        <s:v>0</s:v>
      </s:c>
      <s:c r="BC6" t="n">
        <s:v>0</s:v>
      </s:c>
      <s:c r="BD6" t="n">
        <s:v>58812.61</s:v>
      </s:c>
      <s:c r="BE6" t="n">
        <s:f>IF(COUNT(AR6,AS6,AT6,AU6,AV6,AW6,AX6,AY6,BB6,BC6,AZ6)&gt;0,SUM(AR6,AS6,AT6,AU6,AV6,AW6,AX6,AY6,BB6,BC6,AZ6),"-")</s:f>
        <s:v>58812.61</s:v>
      </s:c>
      <s:c r="BF6" t="n">
        <s:v>2379.24</s:v>
      </s:c>
      <s:c r="BG6" t="n">
        <s:f>IF(AND(ISNUMBER(AQ6)),SUM(AQ6,BE6,BA6,BF6),"-")</s:f>
        <s:v>4899939.26</s:v>
      </s:c>
      <s:c r="BH6" t="n">
        <s:v>0</s:v>
      </s:c>
      <s:c r="BI6" t="n">
        <s:f>IF(AND(ISNUMBER(BG6)),SUM(BG6,BH6),"-")</s:f>
        <s:v>4899939.26</s:v>
      </s:c>
      <s:c r="BJ6" t="n">
        <s:f>IF(AND(ISNUMBER(AN6),ISNUMBER(Y6),ISNUMBER(I6),I6&lt;&gt;0),(AN6-Y6)/I6,"-")</s:f>
        <s:v>6.810372602277261</s:v>
      </s:c>
      <s:c r="BK6" t="n">
        <s:f>IF(AND(ISNUMBER(AN6),ISNUMBER(I6),I6&lt;&gt;0),AN6/I6,"-")</s:f>
        <s:v>7.425263803210263</s:v>
      </s:c>
      <s:c r="BL6" t="n">
        <s:f>IF(AND(ISNUMBER(BI6),ISNUMBER(Y6),ISNUMBER(I6),I6&lt;&gt;0),(BI6-Y6)/I6,"-")</s:f>
        <s:v>6.904274099990793</s:v>
      </s:c>
      <s:c r="BM6" t="n">
        <s:f>IF(AND(ISNUMBER(BI6),ISNUMBER(I6),I6&lt;&gt;0),BI6/I6,"-")</s:f>
        <s:v>7.519165300923794</s:v>
      </s:c>
    </s:row>
    <s:row r="7">
      <s:c r="A7" t="inlineStr">
        <s:is>
          <s:t>SEP-2025</s:t>
        </s:is>
      </s:c>
      <s:c r="B7" t="inlineStr">
        <s:is>
          <s:t>GHB02543</s:t>
        </s:is>
      </s:c>
      <s:c r="C7" t="inlineStr">
        <s:is>
          <s:t>30591</s:t>
        </s:is>
      </s:c>
      <s:c r="D7" t="inlineStr">
        <s:is>
          <s:t>HTP-I</s:t>
        </s:is>
      </s:c>
      <s:c r="E7" t="n">
        <s:v>1525</s:v>
      </s:c>
      <s:c r="F7" t="n">
        <s:v>1411</s:v>
      </s:c>
      <s:c r="G7" t="n">
        <s:v>1411</s:v>
      </s:c>
      <s:c r="H7" t="n">
        <s:v>0.994</s:v>
      </s:c>
      <s:c r="I7" t="n">
        <s:v>632100</s:v>
      </s:c>
      <s:c r="J7" s="2" t="n">
        <s:f>IF(AND(ISNUMBER(I7),ISNUMBER(I6),I6&lt;&gt;0),(I7-I6)/I6,"-")</s:f>
        <s:v>-0.030015652334039224</s:v>
      </s:c>
      <s:c r="K7" t="n">
        <s:v>191750</s:v>
      </s:c>
      <s:c r="L7" s="2" t="n">
        <s:f>IF(AND(ISNUMBER(K7),ISNUMBER(I7),I7&lt;&gt;0),K7/I7,"-")</s:f>
        <s:v>0.3033538996994147</s:v>
      </s:c>
      <s:c r="M7" t="n">
        <s:v>218910</s:v>
      </s:c>
      <s:c r="N7" s="2" t="n">
        <s:f>IF(AND(ISNUMBER(M7),ISNUMBER(I7),I7&lt;&gt;0),M7/I7,"-")</s:f>
        <s:v>0.3463217845277646</s:v>
      </s:c>
      <s:c r="O7" t="n">
        <s:v>210700</s:v>
      </s:c>
      <s:c r="P7" t="n">
        <s:v>191750</s:v>
      </s:c>
      <s:c r="Q7" t="n">
        <s:f>IF(COUNT(U7,W7)&gt;0,SUM(U7,W7),"-")</s:f>
        <s:v>43247</s:v>
      </s:c>
      <s:c r="R7" t="n">
        <s:f>IF(AND(ISNUMBER(I7),ISNUMBER(S7)),I7-S7,"-")</s:f>
        <s:v>630675</s:v>
      </s:c>
      <s:c r="S7" t="n">
        <s:v>1425</s:v>
      </s:c>
      <s:c r="T7" s="2" t="n">
        <s:f>IF(AND(ISNUMBER(S7),ISNUMBER(Q7),Q7&lt;&gt;0),S7/Q7,"-")</s:f>
        <s:v>0.03295026244595001</s:v>
      </s:c>
      <s:c r="U7" t="n">
        <s:v>690</s:v>
      </s:c>
      <s:c r="V7" s="2" t="n">
        <s:f>IF(AND(ISNUMBER(U7),ISNUMBER(Q7),Q7&lt;&gt;0),U7/Q7,"-")</s:f>
        <s:v>0.015954863921196848</s:v>
      </s:c>
      <s:c r="W7" t="n">
        <s:v>42557</s:v>
      </s:c>
      <s:c r="X7" s="2" t="n">
        <s:f>IF(AND(ISNUMBER(W7),ISNUMBER(Q7),Q7&lt;&gt;0),W7/Q7,"-")</s:f>
        <s:v>0.9840451360788032</s:v>
      </s:c>
      <s:c r="Y7" t="n">
        <s:v>400225</s:v>
      </s:c>
      <s:c r="Z7" s="2" t="n">
        <s:f>IF(AND(ISNUMBER(Y7),ISNUMBER(AN7),AN7&lt;&gt;0),Y7/AN7,"-")</s:f>
        <s:v>0.08681681091724397</s:v>
      </s:c>
      <s:c r="AA7" t="n">
        <s:v>0</s:v>
      </s:c>
      <s:c r="AB7" t="n">
        <s:v>2654820</s:v>
      </s:c>
      <s:c r="AC7" s="2" t="n">
        <s:f>IF(AND(ISNUMBER(AB7),ISNUMBER(AN7),AN7&lt;&gt;0),AB7/AN7,"-")</s:f>
        <s:v>0.5758835803843279</s:v>
      </s:c>
      <s:c r="AD7" t="n">
        <s:v>1453830</s:v>
      </s:c>
      <s:c r="AE7" s="2" t="n">
        <s:f>IF(AND(ISNUMBER(AD7),ISNUMBER(AN7),AN7&lt;&gt;0),AD7/AN7,"-")</s:f>
        <s:v>0.31536481782951287</s:v>
      </s:c>
      <s:c r="AF7" t="inlineStr">
        <s:is>
          <s:t>-</s:t>
        </s:is>
      </s:c>
      <s:c r="AG7" t="inlineStr">
        <s:is>
          <s:t>-</s:t>
        </s:is>
      </s:c>
      <s:c r="AH7" t="inlineStr">
        <s:is>
          <s:t>-</s:t>
        </s:is>
      </s:c>
      <s:c r="AI7" t="n">
        <s:v>-58406.04</s:v>
      </s:c>
      <s:c r="AJ7" t="n">
        <s:v>0</s:v>
      </s:c>
      <s:c r="AK7" t="n">
        <s:v>-26548.2</s:v>
      </s:c>
      <s:c r="AL7" t="n">
        <s:v>186073.5</s:v>
      </s:c>
      <s:c r="AM7" s="2" t="n">
        <s:f>IF(AND(ISNUMBER(AL7),ISNUMBER(AN7),AN7&lt;&gt;0),AL7/AN7,"-")</s:f>
        <s:v>0.040363065441213805</s:v>
      </s:c>
      <s:c r="AN7" t="n">
        <s:f>IF(AND(ISNUMBER(Y7),ISNUMBER(AB7)),SUM(Y7,AA7,AB7,AD7,AF7,AG7,AI7,AJ7,AK7,AL7),"-")</s:f>
        <s:v>4609994.26</s:v>
      </s:c>
      <s:c r="AO7" t="n">
        <s:v>4609994.26</s:v>
      </s:c>
      <s:c r="AP7" t="n">
        <s:v>0</s:v>
      </s:c>
      <s:c r="AQ7" t="n">
        <s:f>IF(AND(ISNUMBER(AO7)),SUM(AO7,AP7),"-")</s:f>
        <s:v>4609994.26</s:v>
      </s:c>
      <s:c r="AR7" t="n">
        <s:v>63835.5</s:v>
      </s:c>
      <s:c r="AS7" t="n">
        <s:v>-1361.03</s:v>
      </s:c>
      <s:c r="AT7" t="n">
        <s:v>-9053.030000000001</s:v>
      </s:c>
      <s:c r="AU7" t="n">
        <s:v>0</s:v>
      </s:c>
      <s:c r="AV7" t="n">
        <s:v>0</s:v>
      </s:c>
      <s:c r="AW7" t="n">
        <s:v>0</s:v>
      </s:c>
      <s:c r="AX7" t="n">
        <s:v>0</s:v>
      </s:c>
      <s:c r="AY7" t="n">
        <s:v>-4898</s:v>
      </s:c>
      <s:c r="AZ7" t="n">
        <s:v>38.1</s:v>
      </s:c>
      <s:c r="BA7" t="n">
        <s:v>0</s:v>
      </s:c>
      <s:c r="BB7" t="n">
        <s:v>0</s:v>
      </s:c>
      <s:c r="BC7" t="n">
        <s:v>-138128.58</s:v>
      </s:c>
      <s:c r="BD7" t="n">
        <s:v>-89567.03999999999</s:v>
      </s:c>
      <s:c r="BE7" t="n">
        <s:f>IF(COUNT(AR7,AS7,AT7,AU7,AV7,AW7,AX7,AY7,BB7,BC7,AZ7)&gt;0,SUM(AR7,AS7,AT7,AU7,AV7,AW7,AX7,AY7,BB7,BC7,AZ7),"-")</s:f>
        <s:v>-89567.04</s:v>
      </s:c>
      <s:c r="BF7" t="n">
        <s:v>2897.26</s:v>
      </s:c>
      <s:c r="BG7" t="n">
        <s:f>IF(AND(ISNUMBER(AQ7)),SUM(AQ7,BE7,BA7,BF7),"-")</s:f>
        <s:v>4523324.4799999995</s:v>
      </s:c>
      <s:c r="BH7" t="n">
        <s:v>0</s:v>
      </s:c>
      <s:c r="BI7" t="n">
        <s:f>IF(AND(ISNUMBER(BG7)),SUM(BG7,BH7),"-")</s:f>
        <s:v>4523324.4799999995</s:v>
      </s:c>
      <s:c r="BJ7" t="n">
        <s:f>IF(AND(ISNUMBER(AN7),ISNUMBER(Y7),ISNUMBER(I7),I7&lt;&gt;0),(AN7-Y7)/I7,"-")</s:f>
        <s:v>6.659973516848599</s:v>
      </s:c>
      <s:c r="BK7" t="n">
        <s:f>IF(AND(ISNUMBER(AN7),ISNUMBER(I7),I7&lt;&gt;0),AN7/I7,"-")</s:f>
        <s:v>7.293140737225122</s:v>
      </s:c>
      <s:c r="BL7" t="n">
        <s:f>IF(AND(ISNUMBER(BI7),ISNUMBER(Y7),ISNUMBER(I7),I7&lt;&gt;0),(BI7-Y7)/I7,"-")</s:f>
        <s:v>6.522859484258819</s:v>
      </s:c>
      <s:c r="BM7" t="n">
        <s:f>IF(AND(ISNUMBER(BI7),ISNUMBER(I7),I7&lt;&gt;0),BI7/I7,"-")</s:f>
        <s:v>7.156026704635342</s:v>
      </s:c>
    </s:row>
    <s:row r="8">
      <s:c r="A8" t="inlineStr">
        <s:is>
          <s:t>OCT-2025</s:t>
        </s:is>
      </s:c>
      <s:c r="B8" t="inlineStr">
        <s:is>
          <s:t>GHB02543</s:t>
        </s:is>
      </s:c>
      <s:c r="C8" t="inlineStr">
        <s:is>
          <s:t>30591</s:t>
        </s:is>
      </s:c>
      <s:c r="D8" t="inlineStr">
        <s:is>
          <s:t>HTP-I</s:t>
        </s:is>
      </s:c>
      <s:c r="E8" t="n">
        <s:v>1525</s:v>
      </s:c>
      <s:c r="F8" t="n">
        <s:v>1398</s:v>
      </s:c>
      <s:c r="G8" t="n">
        <s:v>1398</s:v>
      </s:c>
      <s:c r="H8" t="n">
        <s:v>0.967</s:v>
      </s:c>
      <s:c r="I8" t="n">
        <s:v>583750</s:v>
      </s:c>
      <s:c r="J8" s="2" t="n">
        <s:f>IF(AND(ISNUMBER(I8),ISNUMBER(I7),I7&lt;&gt;0),(I8-I7)/I7,"-")</s:f>
        <s:v>-0.07649106154089542</s:v>
      </s:c>
      <s:c r="K8" t="n">
        <s:v>168060</s:v>
      </s:c>
      <s:c r="L8" s="2" t="n">
        <s:f>IF(AND(ISNUMBER(K8),ISNUMBER(I8),I8&lt;&gt;0),K8/I8,"-")</s:f>
        <s:v>0.28789721627408993</s:v>
      </s:c>
      <s:c r="M8" t="n">
        <s:v>205720</s:v>
      </s:c>
      <s:c r="N8" s="2" t="n">
        <s:f>IF(AND(ISNUMBER(M8),ISNUMBER(I8),I8&lt;&gt;0),M8/I8,"-")</s:f>
        <s:v>0.35241113490364023</s:v>
      </s:c>
      <s:c r="O8" t="n">
        <s:v>194583</s:v>
      </s:c>
      <s:c r="P8" t="n">
        <s:v>168060</s:v>
      </s:c>
      <s:c r="Q8" t="n">
        <s:f>IF(COUNT(U8,W8)&gt;0,SUM(U8,W8),"-")</s:f>
        <s:v>47497</s:v>
      </s:c>
      <s:c r="R8" t="n">
        <s:f>IF(AND(ISNUMBER(I8),ISNUMBER(S8)),I8-S8,"-")</s:f>
        <s:v>582399</s:v>
      </s:c>
      <s:c r="S8" t="n">
        <s:v>1351</s:v>
      </s:c>
      <s:c r="T8" s="2" t="n">
        <s:f>IF(AND(ISNUMBER(S8),ISNUMBER(Q8),Q8&lt;&gt;0),S8/Q8,"-")</s:f>
        <s:v>0.02844390172010864</s:v>
      </s:c>
      <s:c r="U8" t="n">
        <s:v>1723</s:v>
      </s:c>
      <s:c r="V8" s="2" t="n">
        <s:f>IF(AND(ISNUMBER(U8),ISNUMBER(Q8),Q8&lt;&gt;0),U8/Q8,"-")</s:f>
        <s:v>0.036275975324757355</s:v>
      </s:c>
      <s:c r="W8" t="n">
        <s:v>45774</s:v>
      </s:c>
      <s:c r="X8" s="2" t="n">
        <s:f>IF(AND(ISNUMBER(W8),ISNUMBER(Q8),Q8&lt;&gt;0),W8/Q8,"-")</s:f>
        <s:v>0.9637240246752427</s:v>
      </s:c>
      <s:c r="Y8" t="n">
        <s:v>394050</s:v>
      </s:c>
      <s:c r="Z8" s="2" t="n">
        <s:f>IF(AND(ISNUMBER(Y8),ISNUMBER(AN8),AN8&lt;&gt;0),Y8/AN8,"-")</s:f>
        <s:v>0.09125901408277239</s:v>
      </s:c>
      <s:c r="AA8" t="n">
        <s:v>0</s:v>
      </s:c>
      <s:c r="AB8" t="n">
        <s:v>2451750</s:v>
      </s:c>
      <s:c r="AC8" s="2" t="n">
        <s:f>IF(AND(ISNUMBER(AB8),ISNUMBER(AN8),AN8&lt;&gt;0),AB8/AN8,"-")</s:f>
        <s:v>0.5678068462820383</s:v>
      </s:c>
      <s:c r="AD8" t="n">
        <s:v>1342625</s:v>
      </s:c>
      <s:c r="AE8" s="2" t="n">
        <s:f>IF(AND(ISNUMBER(AD8),ISNUMBER(AN8),AN8&lt;&gt;0),AD8/AN8,"-")</s:f>
        <s:v>0.31094184439254474</s:v>
      </s:c>
      <s:c r="AF8" t="inlineStr">
        <s:is>
          <s:t>-</s:t>
        </s:is>
      </s:c>
      <s:c r="AG8" t="inlineStr">
        <s:is>
          <s:t>-</s:t>
        </s:is>
      </s:c>
      <s:c r="AH8" t="inlineStr">
        <s:is>
          <s:t>-</s:t>
        </s:is>
      </s:c>
      <s:c r="AI8" t="n">
        <s:v>-20839.88</s:v>
      </s:c>
      <s:c r="AJ8" t="n">
        <s:v>0</s:v>
      </s:c>
      <s:c r="AK8" t="n">
        <s:v>-24517.5</s:v>
      </s:c>
      <s:c r="AL8" t="n">
        <s:v>174862</s:v>
      </s:c>
      <s:c r="AM8" s="2" t="n">
        <s:f>IF(AND(ISNUMBER(AL8),ISNUMBER(AN8),AN8&lt;&gt;0),AL8/AN8,"-")</s:f>
        <s:v>0.04049672305682463</s:v>
      </s:c>
      <s:c r="AN8" t="n">
        <s:f>IF(AND(ISNUMBER(Y8),ISNUMBER(AB8)),SUM(Y8,AA8,AB8,AD8,AF8,AG8,AI8,AJ8,AK8,AL8),"-")</s:f>
        <s:v>4317929.62</s:v>
      </s:c>
      <s:c r="AO8" t="n">
        <s:v>4317929.62</s:v>
      </s:c>
      <s:c r="AP8" t="n">
        <s:v>0</s:v>
      </s:c>
      <s:c r="AQ8" t="n">
        <s:f>IF(AND(ISNUMBER(AO8)),SUM(AO8,AP8),"-")</s:f>
        <s:v>4317929.62</s:v>
      </s:c>
      <s:c r="AR8" t="n">
        <s:v>68661</s:v>
      </s:c>
      <s:c r="AS8" t="n">
        <s:v>-3398.62</s:v>
      </s:c>
      <s:c r="AT8" t="n">
        <s:v>-8582.9</s:v>
      </s:c>
      <s:c r="AU8" t="n">
        <s:v>0</s:v>
      </s:c>
      <s:c r="AV8" t="n">
        <s:v>0</s:v>
      </s:c>
      <s:c r="AW8" t="n">
        <s:v>0</s:v>
      </s:c>
      <s:c r="AX8" t="n">
        <s:v>0</s:v>
      </s:c>
      <s:c r="AY8" t="n">
        <s:v>-4521</s:v>
      </s:c>
      <s:c r="AZ8" t="n">
        <s:v>0</s:v>
      </s:c>
      <s:c r="BA8" t="n">
        <s:v>0</s:v>
      </s:c>
      <s:c r="BB8" t="n">
        <s:v>0</s:v>
      </s:c>
      <s:c r="BC8" t="n">
        <s:v>0</s:v>
      </s:c>
      <s:c r="BD8" t="n">
        <s:v>51826.96</s:v>
      </s:c>
      <s:c r="BE8" t="n">
        <s:f>IF(COUNT(AR8,AS8,AT8,AU8,AV8,AW8,AX8,AY8,BB8,BC8,AZ8)&gt;0,SUM(AR8,AS8,AT8,AU8,AV8,AW8,AX8,AY8,BB8,BC8,AZ8),"-")</s:f>
        <s:v>52158.479999999996</s:v>
      </s:c>
      <s:c r="BF8" t="n">
        <s:v>0</s:v>
      </s:c>
      <s:c r="BG8" t="n">
        <s:f>IF(AND(ISNUMBER(AQ8)),SUM(AQ8,BE8,BA8,BF8),"-")</s:f>
        <s:v>4370088.100000001</s:v>
      </s:c>
      <s:c r="BH8" t="n">
        <s:v>0</s:v>
      </s:c>
      <s:c r="BI8" t="n">
        <s:f>IF(AND(ISNUMBER(BG8)),SUM(BG8,BH8),"-")</s:f>
        <s:v>4370088.100000001</s:v>
      </s:c>
      <s:c r="BJ8" t="n">
        <s:f>IF(AND(ISNUMBER(AN8),ISNUMBER(Y8),ISNUMBER(I8),I8&lt;&gt;0),(AN8-Y8)/I8,"-")</s:f>
        <s:v>6.721849456102784</s:v>
      </s:c>
      <s:c r="BK8" t="n">
        <s:f>IF(AND(ISNUMBER(AN8),ISNUMBER(I8),I8&lt;&gt;0),AN8/I8,"-")</s:f>
        <s:v>7.3968815760171305</s:v>
      </s:c>
      <s:c r="BL8" t="n">
        <s:f>IF(AND(ISNUMBER(BI8),ISNUMBER(Y8),ISNUMBER(I8),I8&lt;&gt;0),(BI8-Y8)/I8,"-")</s:f>
        <s:v>6.8112001713062105</s:v>
      </s:c>
      <s:c r="BM8" t="n">
        <s:f>IF(AND(ISNUMBER(BI8),ISNUMBER(I8),I8&lt;&gt;0),BI8/I8,"-")</s:f>
        <s:v>7.486232291220558</s:v>
      </s:c>
    </s:row>
    <s:row r="9">
      <s:c r="A9" t="inlineStr">
        <s:is>
          <s:t>NOV-2025</s:t>
        </s:is>
      </s:c>
      <s:c r="B9" t="inlineStr">
        <s:is>
          <s:t>GHB02543</s:t>
        </s:is>
      </s:c>
      <s:c r="C9" t="inlineStr">
        <s:is>
          <s:t>30591</s:t>
        </s:is>
      </s:c>
      <s:c r="D9" t="inlineStr">
        <s:is>
          <s:t>HTP-I</s:t>
        </s:is>
      </s:c>
      <s:c r="E9" t="n">
        <s:v>1525</s:v>
      </s:c>
      <s:c r="F9" t="n">
        <s:v>1226</s:v>
      </s:c>
      <s:c r="G9" t="n">
        <s:v>1296</s:v>
      </s:c>
      <s:c r="H9" t="n">
        <s:v>0.987</s:v>
      </s:c>
      <s:c r="I9" t="n">
        <s:v>403430</s:v>
      </s:c>
      <s:c r="J9" s="2" t="n">
        <s:f>IF(AND(ISNUMBER(I9),ISNUMBER(I8),I8&lt;&gt;0),(I9-I8)/I8,"-")</s:f>
        <s:v>-0.30889935760171305</s:v>
      </s:c>
      <s:c r="K9" t="n">
        <s:v>112820</s:v>
      </s:c>
      <s:c r="L9" s="2" t="n">
        <s:f>IF(AND(ISNUMBER(K9),ISNUMBER(I9),I9&lt;&gt;0),K9/I9,"-")</s:f>
        <s:v>0.2796519842351833</s:v>
      </s:c>
      <s:c r="M9" t="n">
        <s:v>140040</s:v>
      </s:c>
      <s:c r="N9" s="2" t="n">
        <s:f>IF(AND(ISNUMBER(M9),ISNUMBER(I9),I9&lt;&gt;0),M9/I9,"-")</s:f>
        <s:v>0.3471234167017822</s:v>
      </s:c>
      <s:c r="O9" t="n">
        <s:v>134477</s:v>
      </s:c>
      <s:c r="P9" t="n">
        <s:v>112820</s:v>
      </s:c>
      <s:c r="Q9" t="n">
        <s:f>IF(COUNT(U9,W9)&gt;0,SUM(U9,W9),"-")</s:f>
        <s:v>40028</s:v>
      </s:c>
      <s:c r="R9" t="n">
        <s:f>IF(AND(ISNUMBER(I9),ISNUMBER(S9)),I9-S9,"-")</s:f>
        <s:v>401995</s:v>
      </s:c>
      <s:c r="S9" t="n">
        <s:v>1435</s:v>
      </s:c>
      <s:c r="T9" s="2" t="n">
        <s:f>IF(AND(ISNUMBER(S9),ISNUMBER(Q9),Q9&lt;&gt;0),S9/Q9,"-")</s:f>
        <s:v>0.03584990506645348</s:v>
      </s:c>
      <s:c r="U9" t="n">
        <s:v>515</s:v>
      </s:c>
      <s:c r="V9" s="2" t="n">
        <s:f>IF(AND(ISNUMBER(U9),ISNUMBER(Q9),Q9&lt;&gt;0),U9/Q9,"-")</s:f>
        <s:v>0.012865993804336964</s:v>
      </s:c>
      <s:c r="W9" t="n">
        <s:v>39513</s:v>
      </s:c>
      <s:c r="X9" s="2" t="n">
        <s:f>IF(AND(ISNUMBER(W9),ISNUMBER(Q9),Q9&lt;&gt;0),W9/Q9,"-")</s:f>
        <s:v>0.987134006195663</s:v>
      </s:c>
      <s:c r="Y9" t="n">
        <s:v>345600</s:v>
      </s:c>
      <s:c r="Z9" s="2" t="n">
        <s:f>IF(AND(ISNUMBER(Y9),ISNUMBER(AN9),AN9&lt;&gt;0),Y9/AN9,"-")</s:f>
        <s:v>0.11373515077935745</s:v>
      </s:c>
      <s:c r="AA9" t="n">
        <s:v>0</s:v>
      </s:c>
      <s:c r="AB9" t="n">
        <s:v>1694406</s:v>
      </s:c>
      <s:c r="AC9" s="2" t="n">
        <s:f>IF(AND(ISNUMBER(AB9),ISNUMBER(AN9),AN9&lt;&gt;0),AB9/AN9,"-")</s:f>
        <s:v>0.5576201443618285</s:v>
      </s:c>
      <s:c r="AD9" t="n">
        <s:v>927889</s:v>
      </s:c>
      <s:c r="AE9" s="2" t="n">
        <s:f>IF(AND(ISNUMBER(AD9),ISNUMBER(AN9),AN9&lt;&gt;0),AD9/AN9,"-")</s:f>
        <s:v>0.30536341238862036</s:v>
      </s:c>
      <s:c r="AF9" t="inlineStr">
        <s:is>
          <s:t>-</s:t>
        </s:is>
      </s:c>
      <s:c r="AG9" t="inlineStr">
        <s:is>
          <s:t>-</s:t>
        </s:is>
      </s:c>
      <s:c r="AH9" t="inlineStr">
        <s:is>
          <s:t>-</s:t>
        </s:is>
      </s:c>
      <s:c r="AI9" t="n">
        <s:v>-31346.51</s:v>
      </s:c>
      <s:c r="AJ9" t="n">
        <s:v>0</s:v>
      </s:c>
      <s:c r="AK9" t="n">
        <s:v>-16944.06</s:v>
      </s:c>
      <s:c r="AL9" t="n">
        <s:v>119034</s:v>
      </s:c>
      <s:c r="AM9" s="2" t="n">
        <s:f>IF(AND(ISNUMBER(AL9),ISNUMBER(AN9),AN9&lt;&gt;0),AL9/AN9,"-")</s:f>
        <s:v>0.03917346625541098</s:v>
      </s:c>
      <s:c r="AN9" t="n">
        <s:f>IF(AND(ISNUMBER(Y9),ISNUMBER(AB9)),SUM(Y9,AA9,AB9,AD9,AF9,AG9,AI9,AJ9,AK9,AL9),"-")</s:f>
        <s:v>3038638.43</s:v>
      </s:c>
      <s:c r="AO9" t="n">
        <s:v>3038638.43</s:v>
      </s:c>
      <s:c r="AP9" t="n">
        <s:v>0</s:v>
      </s:c>
      <s:c r="AQ9" t="n">
        <s:f>IF(AND(ISNUMBER(AO9)),SUM(AO9,AP9),"-")</s:f>
        <s:v>3038638.43</s:v>
      </s:c>
      <s:c r="AR9" t="n">
        <s:v>59269.5</s:v>
      </s:c>
      <s:c r="AS9" t="n">
        <s:v>-1015.84</s:v>
      </s:c>
      <s:c r="AT9" t="n">
        <s:v>-9116.559999999999</s:v>
      </s:c>
      <s:c r="AU9" t="n">
        <s:v>0</s:v>
      </s:c>
      <s:c r="AV9" t="n">
        <s:v>0</s:v>
      </s:c>
      <s:c r="AW9" t="n">
        <s:v>0</s:v>
      </s:c>
      <s:c r="AX9" t="n">
        <s:v>0</s:v>
      </s:c>
      <s:c r="AY9" t="n">
        <s:v>-4370</s:v>
      </s:c>
      <s:c r="AZ9" t="n">
        <s:v>0</s:v>
      </s:c>
      <s:c r="BA9" t="n">
        <s:v>0</s:v>
      </s:c>
      <s:c r="BB9" t="n">
        <s:v>0</s:v>
      </s:c>
      <s:c r="BC9" t="n">
        <s:v>0</s:v>
      </s:c>
      <s:c r="BD9" t="n">
        <s:v>44289.68</s:v>
      </s:c>
      <s:c r="BE9" t="n">
        <s:f>IF(COUNT(AR9,AS9,AT9,AU9,AV9,AW9,AX9,AY9,BB9,BC9,AZ9)&gt;0,SUM(AR9,AS9,AT9,AU9,AV9,AW9,AX9,AY9,BB9,BC9,AZ9),"-")</s:f>
        <s:v>44767.1</s:v>
      </s:c>
      <s:c r="BF9" t="n">
        <s:v>0</s:v>
      </s:c>
      <s:c r="BG9" t="n">
        <s:f>IF(AND(ISNUMBER(AQ9)),SUM(AQ9,BE9,BA9,BF9),"-")</s:f>
        <s:v>3083405.5300000003</s:v>
      </s:c>
      <s:c r="BH9" t="n">
        <s:v>0</s:v>
      </s:c>
      <s:c r="BI9" t="n">
        <s:f>IF(AND(ISNUMBER(BG9)),SUM(BG9,BH9),"-")</s:f>
        <s:v>3083405.5300000003</s:v>
      </s:c>
      <s:c r="BJ9" t="n">
        <s:f>IF(AND(ISNUMBER(AN9),ISNUMBER(Y9),ISNUMBER(I9),I9&lt;&gt;0),(AN9-Y9)/I9,"-")</s:f>
        <s:v>6.67535490667526</s:v>
      </s:c>
      <s:c r="BK9" t="n">
        <s:f>IF(AND(ISNUMBER(AN9),ISNUMBER(I9),I9&lt;&gt;0),AN9/I9,"-")</s:f>
        <s:v>7.532009096993283</s:v>
      </s:c>
      <s:c r="BL9" t="n">
        <s:f>IF(AND(ISNUMBER(BI9),ISNUMBER(Y9),ISNUMBER(I9),I9&lt;&gt;0),(BI9-Y9)/I9,"-")</s:f>
        <s:v>6.786321121384132</s:v>
      </s:c>
      <s:c r="BM9" t="n">
        <s:f>IF(AND(ISNUMBER(BI9),ISNUMBER(I9),I9&lt;&gt;0),BI9/I9,"-")</s:f>
        <s:v>7.642975311702155</s:v>
      </s:c>
    </s:row>
    <s:row r="10">
      <s:c r="A10" t="inlineStr">
        <s:is>
          <s:t>DEC-2025</s:t>
        </s:is>
      </s:c>
      <s:c r="B10" t="inlineStr">
        <s:is>
          <s:t>GHB02543</s:t>
        </s:is>
      </s:c>
      <s:c r="C10" t="inlineStr">
        <s:is>
          <s:t>30591</s:t>
        </s:is>
      </s:c>
      <s:c r="D10" t="inlineStr">
        <s:is>
          <s:t>HTP-I</s:t>
        </s:is>
      </s:c>
      <s:c r="E10" t="n">
        <s:v>1525</s:v>
      </s:c>
      <s:c r="F10" t="n">
        <s:v>1035</s:v>
      </s:c>
      <s:c r="G10" t="n">
        <s:v>1296</s:v>
      </s:c>
      <s:c r="H10" t="n">
        <s:v>0.996</s:v>
      </s:c>
      <s:c r="I10" t="n">
        <s:v>448590</s:v>
      </s:c>
      <s:c r="J10" s="2" t="n">
        <s:f>IF(AND(ISNUMBER(I10),ISNUMBER(I9),I9&lt;&gt;0),(I10-I9)/I9,"-")</s:f>
        <s:v>0.11194011352651018</s:v>
      </s:c>
      <s:c r="K10" t="n">
        <s:v>135740</s:v>
      </s:c>
      <s:c r="L10" s="2" t="n">
        <s:f>IF(AND(ISNUMBER(K10),ISNUMBER(I10),I10&lt;&gt;0),K10/I10,"-")</s:f>
        <s:v>0.30259256782362515</s:v>
      </s:c>
      <s:c r="M10" t="n">
        <s:v>152560</s:v>
      </s:c>
      <s:c r="N10" s="2" t="n">
        <s:f>IF(AND(ISNUMBER(M10),ISNUMBER(I10),I10&lt;&gt;0),M10/I10,"-")</s:f>
        <s:v>0.34008783075859916</s:v>
      </s:c>
      <s:c r="O10" t="n">
        <s:v>149530</s:v>
      </s:c>
      <s:c r="P10" t="n">
        <s:v>135740</s:v>
      </s:c>
      <s:c r="Q10" t="n">
        <s:f>IF(COUNT(U10,W10)&gt;0,SUM(U10,W10),"-")</s:f>
        <s:v>35952</s:v>
      </s:c>
      <s:c r="R10" t="n">
        <s:f>IF(AND(ISNUMBER(I10),ISNUMBER(S10)),I10-S10,"-")</s:f>
        <s:v>447882</s:v>
      </s:c>
      <s:c r="S10" t="n">
        <s:v>708</s:v>
      </s:c>
      <s:c r="T10" s="2" t="n">
        <s:f>IF(AND(ISNUMBER(S10),ISNUMBER(Q10),Q10&lt;&gt;0),S10/Q10,"-")</s:f>
        <s:v>0.019692923898531375</s:v>
      </s:c>
      <s:c r="U10" t="n">
        <s:v>4532</s:v>
      </s:c>
      <s:c r="V10" s="2" t="n">
        <s:f>IF(AND(ISNUMBER(U10),ISNUMBER(Q10),Q10&lt;&gt;0),U10/Q10,"-")</s:f>
        <s:v>0.12605696484201157</s:v>
      </s:c>
      <s:c r="W10" t="n">
        <s:v>31420</s:v>
      </s:c>
      <s:c r="X10" s="2" t="n">
        <s:f>IF(AND(ISNUMBER(W10),ISNUMBER(Q10),Q10&lt;&gt;0),W10/Q10,"-")</s:f>
        <s:v>0.8739430351579884</s:v>
      </s:c>
      <s:c r="Y10" t="n">
        <s:v>345600</s:v>
      </s:c>
      <s:c r="Z10" s="2" t="n">
        <s:f>IF(AND(ISNUMBER(Y10),ISNUMBER(AN10),AN10&lt;&gt;0),Y10/AN10,"-")</s:f>
        <s:v>0.10381694191739191</s:v>
      </s:c>
      <s:c r="AA10" t="n">
        <s:v>0</s:v>
      </s:c>
      <s:c r="AB10" t="n">
        <s:v>1884078</s:v>
      </s:c>
      <s:c r="AC10" s="2" t="n">
        <s:f>IF(AND(ISNUMBER(AB10),ISNUMBER(AN10),AN10&lt;&gt;0),AB10/AN10,"-")</s:f>
        <s:v>0.5659699545539234</s:v>
      </s:c>
      <s:c r="AD10" t="n">
        <s:v>1031757</s:v>
      </s:c>
      <s:c r="AE10" s="2" t="n">
        <s:f>IF(AND(ISNUMBER(AD10),ISNUMBER(AN10),AN10&lt;&gt;0),AD10/AN10,"-")</s:f>
        <s:v>0.30993592749381516</s:v>
      </s:c>
      <s:c r="AF10" t="inlineStr">
        <s:is>
          <s:t>-</s:t>
        </s:is>
      </s:c>
      <s:c r="AG10" t="inlineStr">
        <s:is>
          <s:t>-</s:t>
        </s:is>
      </s:c>
      <s:c r="AH10" t="inlineStr">
        <s:is>
          <s:t>-</s:t>
        </s:is>
      </s:c>
      <s:c r="AI10" t="n">
        <s:v>-43333.79</s:v>
      </s:c>
      <s:c r="AJ10" t="n">
        <s:v>0</s:v>
      </s:c>
      <s:c r="AK10" t="n">
        <s:v>-18840.78</s:v>
      </s:c>
      <s:c r="AL10" t="n">
        <s:v>129676</s:v>
      </s:c>
      <s:c r="AM10" s="2" t="n">
        <s:f>IF(AND(ISNUMBER(AL10),ISNUMBER(AN10),AN10&lt;&gt;0),AL10/AN10,"-")</s:f>
        <s:v>0.038954183333563985</s:v>
      </s:c>
      <s:c r="AN10" t="n">
        <s:f>IF(AND(ISNUMBER(Y10),ISNUMBER(AB10)),SUM(Y10,AA10,AB10,AD10,AF10,AG10,AI10,AJ10,AK10,AL10),"-")</s:f>
        <s:v>3328936.43</s:v>
      </s:c>
      <s:c r="AO10" t="n">
        <s:v>3328936.43</s:v>
      </s:c>
      <s:c r="AP10" t="n">
        <s:v>0</s:v>
      </s:c>
      <s:c r="AQ10" t="n">
        <s:f>IF(AND(ISNUMBER(AO10)),SUM(AO10,AP10),"-")</s:f>
        <s:v>3328936.43</s:v>
      </s:c>
      <s:c r="AR10" t="n">
        <s:v>47130</s:v>
      </s:c>
      <s:c r="AS10" t="n">
        <s:v>-8939.370000000001</s:v>
      </s:c>
      <s:c r="AT10" t="n">
        <s:v>-4497.92</s:v>
      </s:c>
      <s:c r="AU10" t="n">
        <s:v>0</s:v>
      </s:c>
      <s:c r="AV10" t="n">
        <s:v>0</s:v>
      </s:c>
      <s:c r="AW10" t="n">
        <s:v>0</s:v>
      </s:c>
      <s:c r="AX10" t="n">
        <s:v>0</s:v>
      </s:c>
      <s:c r="AY10" t="n">
        <s:v>-3083</s:v>
      </s:c>
      <s:c r="AZ10" t="n">
        <s:v>0</s:v>
      </s:c>
      <s:c r="BA10" t="n">
        <s:v>0</s:v>
      </s:c>
      <s:c r="BB10" t="n">
        <s:v>0</s:v>
      </s:c>
      <s:c r="BC10" t="n">
        <s:v>0</s:v>
      </s:c>
      <s:c r="BD10" t="n">
        <s:v>28848.82</s:v>
      </s:c>
      <s:c r="BE10" t="n">
        <s:f>IF(COUNT(AR10,AS10,AT10,AU10,AV10,AW10,AX10,AY10,BB10,BC10,AZ10)&gt;0,SUM(AR10,AS10,AT10,AU10,AV10,AW10,AX10,AY10,BB10,BC10,AZ10),"-")</s:f>
        <s:v>30609.71</s:v>
      </s:c>
      <s:c r="BF10" t="n">
        <s:v>0</s:v>
      </s:c>
      <s:c r="BG10" t="n">
        <s:f>IF(AND(ISNUMBER(AQ10)),SUM(AQ10,BE10,BA10,BF10),"-")</s:f>
        <s:v>3359546.14</s:v>
      </s:c>
      <s:c r="BH10" t="n">
        <s:v>0</s:v>
      </s:c>
      <s:c r="BI10" t="n">
        <s:f>IF(AND(ISNUMBER(BG10)),SUM(BG10,BH10),"-")</s:f>
        <s:v>3359546.14</s:v>
      </s:c>
      <s:c r="BJ10" t="n">
        <s:f>IF(AND(ISNUMBER(AN10),ISNUMBER(Y10),ISNUMBER(I10),I10&lt;&gt;0),(AN10-Y10)/I10,"-")</s:f>
        <s:v>6.650474665061638</s:v>
      </s:c>
      <s:c r="BK10" t="n">
        <s:f>IF(AND(ISNUMBER(AN10),ISNUMBER(I10),I10&lt;&gt;0),AN10/I10,"-")</s:f>
        <s:v>7.420888628814731</s:v>
      </s:c>
      <s:c r="BL10" t="n">
        <s:f>IF(AND(ISNUMBER(BI10),ISNUMBER(Y10),ISNUMBER(I10),I10&lt;&gt;0),(BI10-Y10)/I10,"-")</s:f>
        <s:v>6.71871004703627</s:v>
      </s:c>
      <s:c r="BM10" t="n">
        <s:f>IF(AND(ISNUMBER(BI10),ISNUMBER(I10),I10&lt;&gt;0),BI10/I10,"-")</s:f>
        <s:v>7.489124010789363</s:v>
      </s:c>
    </s:row>
    <s:row r="11">
      <s:c r="A11" t="inlineStr">
        <s:is>
          <s:t>JAN-2026</s:t>
        </s:is>
      </s:c>
      <s:c r="B11" t="inlineStr">
        <s:is>
          <s:t>GHB02543</s:t>
        </s:is>
      </s:c>
      <s:c r="C11" t="inlineStr">
        <s:is>
          <s:t>30591</s:t>
        </s:is>
      </s:c>
      <s:c r="D11" t="inlineStr">
        <s:is>
          <s:t>HTP-I</s:t>
        </s:is>
      </s:c>
      <s:c r="E11" t="n">
        <s:v>1525</s:v>
      </s:c>
      <s:c r="F11" t="n">
        <s:v>1015</s:v>
      </s:c>
      <s:c r="G11" t="n">
        <s:v>1296</s:v>
      </s:c>
      <s:c r="H11" t="n">
        <s:v>0.998</s:v>
      </s:c>
      <s:c r="I11" t="n">
        <s:v>490800</s:v>
      </s:c>
      <s:c r="J11" s="2" t="n">
        <s:f>IF(AND(ISNUMBER(I11),ISNUMBER(I10),I10&lt;&gt;0),(I11-I10)/I10,"-")</s:f>
        <s:v>0.09409483046880225</s:v>
      </s:c>
      <s:c r="K11" t="n">
        <s:v>156160</s:v>
      </s:c>
      <s:c r="L11" s="2" t="n">
        <s:f>IF(AND(ISNUMBER(K11),ISNUMBER(I11),I11&lt;&gt;0),K11/I11,"-")</s:f>
        <s:v>0.31817440912795436</s:v>
      </s:c>
      <s:c r="M11" t="n">
        <s:v>165880</s:v>
      </s:c>
      <s:c r="N11" s="2" t="n">
        <s:f>IF(AND(ISNUMBER(M11),ISNUMBER(I11),I11&lt;&gt;0),M11/I11,"-")</s:f>
        <s:v>0.3379788101059495</s:v>
      </s:c>
      <s:c r="O11" t="n">
        <s:v>163600</s:v>
      </s:c>
      <s:c r="P11" t="n">
        <s:v>156160</s:v>
      </s:c>
      <s:c r="Q11" t="n">
        <s:f>IF(COUNT(U11,W11)&gt;0,SUM(U11,W11),"-")</s:f>
        <s:v>30700</s:v>
      </s:c>
      <s:c r="R11" t="n">
        <s:f>IF(AND(ISNUMBER(I11),ISNUMBER(S11)),I11-S11,"-")</s:f>
        <s:v>489145</s:v>
      </s:c>
      <s:c r="S11" t="n">
        <s:v>1655</s:v>
      </s:c>
      <s:c r="T11" s="2" t="n">
        <s:f>IF(AND(ISNUMBER(S11),ISNUMBER(Q11),Q11&lt;&gt;0),S11/Q11,"-")</s:f>
        <s:v>0.053908794788273616</s:v>
      </s:c>
      <s:c r="U11" t="n">
        <s:v>1317</s:v>
      </s:c>
      <s:c r="V11" s="2" t="n">
        <s:f>IF(AND(ISNUMBER(U11),ISNUMBER(Q11),Q11&lt;&gt;0),U11/Q11,"-")</s:f>
        <s:v>0.04289902280130293</s:v>
      </s:c>
      <s:c r="W11" t="n">
        <s:v>29383</s:v>
      </s:c>
      <s:c r="X11" s="2" t="n">
        <s:f>IF(AND(ISNUMBER(W11),ISNUMBER(Q11),Q11&lt;&gt;0),W11/Q11,"-")</s:f>
        <s:v>0.957100977198697</s:v>
      </s:c>
      <s:c r="Y11" t="n">
        <s:v>345600</s:v>
      </s:c>
      <s:c r="Z11" s="2" t="n">
        <s:f>IF(AND(ISNUMBER(Y11),ISNUMBER(AN11),AN11&lt;&gt;0),Y11/AN11,"-")</s:f>
        <s:v>0.09582135279920456</s:v>
      </s:c>
      <s:c r="AA11" t="n">
        <s:v>0</s:v>
      </s:c>
      <s:c r="AB11" t="n">
        <s:v>2061360</s:v>
      </s:c>
      <s:c r="AC11" s="2" t="n">
        <s:f>IF(AND(ISNUMBER(AB11),ISNUMBER(AN11),AN11&lt;&gt;0),AB11/AN11,"-")</s:f>
        <s:v>0.5715344438835889</s:v>
      </s:c>
      <s:c r="AD11" t="n">
        <s:v>1128840</s:v>
      </s:c>
      <s:c r="AE11" s="2" t="n">
        <s:f>IF(AND(ISNUMBER(AD11),ISNUMBER(AN11),AN11&lt;&gt;0),AD11/AN11,"-")</s:f>
        <s:v>0.31298314784101294</s:v>
      </s:c>
      <s:c r="AF11" t="inlineStr">
        <s:is>
          <s:t>-</s:t>
        </s:is>
      </s:c>
      <s:c r="AG11" t="inlineStr">
        <s:is>
          <s:t>-</s:t>
        </s:is>
      </s:c>
      <s:c r="AH11" t="inlineStr">
        <s:is>
          <s:t>-</s:t>
        </s:is>
      </s:c>
      <s:c r="AI11" t="n">
        <s:v>-49472.64</s:v>
      </s:c>
      <s:c r="AJ11" t="n">
        <s:v>0</s:v>
      </s:c>
      <s:c r="AK11" t="n">
        <s:v>-20613.6</s:v>
      </s:c>
      <s:c r="AL11" t="n">
        <s:v>140998</s:v>
      </s:c>
      <s:c r="AM11" s="2" t="n">
        <s:f>IF(AND(ISNUMBER(AL11),ISNUMBER(AN11),AN11&lt;&gt;0),AL11/AN11,"-")</s:f>
        <s:v>0.03909322656823566</s:v>
      </s:c>
      <s:c r="AN11" t="n">
        <s:f>IF(AND(ISNUMBER(Y11),ISNUMBER(AB11)),SUM(Y11,AA11,AB11,AD11,AF11,AG11,AI11,AJ11,AK11,AL11),"-")</s:f>
        <s:v>3606711.76</s:v>
      </s:c>
      <s:c r="AO11" t="n">
        <s:v>3606711.76</s:v>
      </s:c>
      <s:c r="AP11" t="n">
        <s:v>0</s:v>
      </s:c>
      <s:c r="AQ11" t="n">
        <s:f>IF(AND(ISNUMBER(AO11)),SUM(AO11,AP11),"-")</s:f>
        <s:v>3606711.76</s:v>
      </s:c>
      <s:c r="AR11" t="n">
        <s:v>44074.5</s:v>
      </s:c>
      <s:c r="AS11" t="n">
        <s:v>-2597.78</s:v>
      </s:c>
      <s:c r="AT11" t="n">
        <s:v>-10514.22</s:v>
      </s:c>
      <s:c r="AU11" t="n">
        <s:v>0</s:v>
      </s:c>
      <s:c r="AV11" t="n">
        <s:v>0</s:v>
      </s:c>
      <s:c r="AW11" t="n">
        <s:v>0</s:v>
      </s:c>
      <s:c r="AX11" t="n">
        <s:v>0</s:v>
      </s:c>
      <s:c r="AY11" t="n">
        <s:v>-3358</s:v>
      </s:c>
      <s:c r="AZ11" t="n">
        <s:v>0</s:v>
      </s:c>
      <s:c r="BA11" t="n">
        <s:v>0</s:v>
      </s:c>
      <s:c r="BB11" t="n">
        <s:v>0</s:v>
      </s:c>
      <s:c r="BC11" t="n">
        <s:v>0</s:v>
      </s:c>
      <s:c r="BD11" t="n">
        <s:v>26123.75</s:v>
      </s:c>
      <s:c r="BE11" t="n">
        <s:f>IF(COUNT(AR11,AS11,AT11,AU11,AV11,AW11,AX11,AY11,BB11,BC11,AZ11)&gt;0,SUM(AR11,AS11,AT11,AU11,AV11,AW11,AX11,AY11,BB11,BC11,AZ11),"-")</s:f>
        <s:v>27604.5</s:v>
      </s:c>
      <s:c r="BF11" t="n">
        <s:v>0</s:v>
      </s:c>
      <s:c r="BG11" t="n">
        <s:f>IF(AND(ISNUMBER(AQ11)),SUM(AQ11,BE11,BA11,BF11),"-")</s:f>
        <s:v>3634316.26</s:v>
      </s:c>
      <s:c r="BH11" t="n">
        <s:v>0</s:v>
      </s:c>
      <s:c r="BI11" t="n">
        <s:f>IF(AND(ISNUMBER(BG11)),SUM(BG11,BH11),"-")</s:f>
        <s:v>3634316.26</s:v>
      </s:c>
      <s:c r="BJ11" t="n">
        <s:f>IF(AND(ISNUMBER(AN11),ISNUMBER(Y11),ISNUMBER(I11),I11&lt;&gt;0),(AN11-Y11)/I11,"-")</s:f>
        <s:v>6.644481988590057</s:v>
      </s:c>
      <s:c r="BK11" t="n">
        <s:f>IF(AND(ISNUMBER(AN11),ISNUMBER(I11),I11&lt;&gt;0),AN11/I11,"-")</s:f>
        <s:v>7.34863846780766</s:v>
      </s:c>
      <s:c r="BL11" t="n">
        <s:f>IF(AND(ISNUMBER(BI11),ISNUMBER(Y11),ISNUMBER(I11),I11&lt;&gt;0),(BI11-Y11)/I11,"-")</s:f>
        <s:v>6.700725876120619</s:v>
      </s:c>
      <s:c r="BM11" t="n">
        <s:f>IF(AND(ISNUMBER(BI11),ISNUMBER(I11),I11&lt;&gt;0),BI11/I11,"-")</s:f>
        <s:v>7.404882355338223</s:v>
      </s:c>
    </s:row>
    <s:row r="12">
      <s:c r="A12" t="inlineStr">
        <s:is>
          <s:t>FEB-2026</s:t>
        </s:is>
      </s:c>
      <s:c r="B12" t="inlineStr">
        <s:is>
          <s:t>GHB02543</s:t>
        </s:is>
      </s:c>
      <s:c r="C12" t="inlineStr">
        <s:is>
          <s:t>30591</s:t>
        </s:is>
      </s:c>
      <s:c r="D12" t="inlineStr">
        <s:is>
          <s:t>HTP-I</s:t>
        </s:is>
      </s:c>
      <s:c r="E12" t="n">
        <s:v>2325</s:v>
      </s:c>
      <s:c r="F12" t="n">
        <s:v>1058</s:v>
      </s:c>
      <s:c r="G12" t="n">
        <s:v>1976</s:v>
      </s:c>
      <s:c r="H12" t="n">
        <s:v>0.997</s:v>
      </s:c>
      <s:c r="I12" t="n">
        <s:v>485045</s:v>
      </s:c>
      <s:c r="J12" s="2" t="n">
        <s:f>IF(AND(ISNUMBER(I12),ISNUMBER(I11),I11&lt;&gt;0),(I12-I11)/I11,"-")</s:f>
        <s:v>-0.011725753871230643</s:v>
      </s:c>
      <s:c r="K12" t="n">
        <s:v>152785</s:v>
      </s:c>
      <s:c r="L12" s="2" t="n">
        <s:f>IF(AND(ISNUMBER(K12),ISNUMBER(I12),I12&lt;&gt;0),K12/I12,"-")</s:f>
        <s:v>0.31499139255120656</s:v>
      </s:c>
      <s:c r="M12" t="n">
        <s:v>169350</s:v>
      </s:c>
      <s:c r="N12" s="2" t="n">
        <s:f>IF(AND(ISNUMBER(M12),ISNUMBER(I12),I12&lt;&gt;0),M12/I12,"-")</s:f>
        <s:v>0.3491428630333268</s:v>
      </s:c>
      <s:c r="O12" t="n">
        <s:v>161682</s:v>
      </s:c>
      <s:c r="P12" t="n">
        <s:v>152785</s:v>
      </s:c>
      <s:c r="Q12" t="n">
        <s:f>IF(COUNT(U12,W12)&gt;0,SUM(U12,W12),"-")</s:f>
        <s:v>38328</s:v>
      </s:c>
      <s:c r="R12" t="n">
        <s:f>IF(AND(ISNUMBER(I12),ISNUMBER(S12)),I12-S12,"-")</s:f>
        <s:v>484409</s:v>
      </s:c>
      <s:c r="S12" t="n">
        <s:v>636</s:v>
      </s:c>
      <s:c r="T12" s="2" t="n">
        <s:f>IF(AND(ISNUMBER(S12),ISNUMBER(Q12),Q12&lt;&gt;0),S12/Q12,"-")</s:f>
        <s:v>0.01659361302442079</s:v>
      </s:c>
      <s:c r="U12" t="n">
        <s:v>1335</s:v>
      </s:c>
      <s:c r="V12" s="2" t="n">
        <s:f>IF(AND(ISNUMBER(U12),ISNUMBER(Q12),Q12&lt;&gt;0),U12/Q12,"-")</s:f>
        <s:v>0.03483093299937383</s:v>
      </s:c>
      <s:c r="W12" t="n">
        <s:v>36993</s:v>
      </s:c>
      <s:c r="X12" s="2" t="n">
        <s:f>IF(AND(ISNUMBER(W12),ISNUMBER(Q12),Q12&lt;&gt;0),W12/Q12,"-")</s:f>
        <s:v>0.9651690670006262</s:v>
      </s:c>
      <s:c r="Y12" t="n">
        <s:v>549207.14285714</s:v>
      </s:c>
      <s:c r="Z12" s="2" t="n">
        <s:f>IF(AND(ISNUMBER(Y12),ISNUMBER(AN12),AN12&lt;&gt;0),Y12/AN12,"-")</s:f>
        <s:v>0.14538130396597324</s:v>
      </s:c>
      <s:c r="AA12" t="n">
        <s:v>0</s:v>
      </s:c>
      <s:c r="AB12" t="n">
        <s:v>2037189</s:v>
      </s:c>
      <s:c r="AC12" s="2" t="n">
        <s:f>IF(AND(ISNUMBER(AB12),ISNUMBER(AN12),AN12&lt;&gt;0),AB12/AN12,"-")</s:f>
        <s:v>0.5392668269104736</s:v>
      </s:c>
      <s:c r="AD12" t="n">
        <s:v>1115603.5</s:v>
      </s:c>
      <s:c r="AE12" s="2" t="n">
        <s:f>IF(AND(ISNUMBER(AD12),ISNUMBER(AN12),AN12&lt;&gt;0),AD12/AN12,"-")</s:f>
        <s:v>0.29531278616525936</s:v>
      </s:c>
      <s:c r="AF12" t="inlineStr">
        <s:is>
          <s:t>-</s:t>
        </s:is>
      </s:c>
      <s:c r="AG12" t="inlineStr">
        <s:is>
          <s:t>-</s:t>
        </s:is>
      </s:c>
      <s:c r="AH12" t="inlineStr">
        <s:is>
          <s:t>-</s:t>
        </s:is>
      </s:c>
      <s:c r="AI12" t="n">
        <s:v>-47873.94</s:v>
      </s:c>
      <s:c r="AJ12" t="n">
        <s:v>0</s:v>
      </s:c>
      <s:c r="AK12" t="n">
        <s:v>-20371.89</s:v>
      </s:c>
      <s:c r="AL12" t="n">
        <s:v>143947.5</s:v>
      </s:c>
      <s:c r="AM12" s="2" t="n">
        <s:f>IF(AND(ISNUMBER(AL12),ISNUMBER(AN12),AN12&lt;&gt;0),AL12/AN12,"-")</s:f>
        <s:v>0.038104521262727904</s:v>
      </s:c>
      <s:c r="AN12" t="n">
        <s:f>IF(AND(ISNUMBER(Y12),ISNUMBER(AB12)),SUM(Y12,AA12,AB12,AD12,AF12,AG12,AI12,AJ12,AK12,AL12),"-")</s:f>
        <s:v>3777701.31285714</s:v>
      </s:c>
      <s:c r="AO12" t="n">
        <s:v>3839415.6</s:v>
      </s:c>
      <s:c r="AP12" t="n">
        <s:v>0</s:v>
      </s:c>
      <s:c r="AQ12" t="n">
        <s:f>IF(AND(ISNUMBER(AO12)),SUM(AO12,AP12),"-")</s:f>
        <s:v>3839415.6</s:v>
      </s:c>
      <s:c r="AR12" t="n">
        <s:v>55489.5</s:v>
      </s:c>
      <s:c r="AS12" t="n">
        <s:v>-2633.29</s:v>
      </s:c>
      <s:c r="AT12" t="n">
        <s:v>-4040.51</s:v>
      </s:c>
      <s:c r="AU12" t="n">
        <s:v>0</s:v>
      </s:c>
      <s:c r="AV12" t="n">
        <s:v>0</s:v>
      </s:c>
      <s:c r="AW12" t="n">
        <s:v>0</s:v>
      </s:c>
      <s:c r="AX12" t="n">
        <s:v>0</s:v>
      </s:c>
      <s:c r="AY12" t="n">
        <s:v>-3633</s:v>
      </s:c>
      <s:c r="AZ12" t="n">
        <s:v>0</s:v>
      </s:c>
      <s:c r="BA12" t="n">
        <s:v>0</s:v>
      </s:c>
      <s:c r="BB12" t="n">
        <s:v>0</s:v>
      </s:c>
      <s:c r="BC12" t="n">
        <s:v>0</s:v>
      </s:c>
      <s:c r="BD12" t="n">
        <s:v>43982.21</s:v>
      </s:c>
      <s:c r="BE12" t="n">
        <s:f>IF(COUNT(AR12,AS12,AT12,AU12,AV12,AW12,AX12,AY12,BB12,BC12,AZ12)&gt;0,SUM(AR12,AS12,AT12,AU12,AV12,AW12,AX12,AY12,BB12,BC12,AZ12),"-")</s:f>
        <s:v>45182.7</s:v>
      </s:c>
      <s:c r="BF12" t="n">
        <s:v>0</s:v>
      </s:c>
      <s:c r="BG12" t="n">
        <s:f>IF(AND(ISNUMBER(AQ12)),SUM(AQ12,BE12,BA12,BF12),"-")</s:f>
        <s:v>3884598.3000000003</s:v>
      </s:c>
      <s:c r="BH12" t="n">
        <s:v>0</s:v>
      </s:c>
      <s:c r="BI12" t="n">
        <s:f>IF(AND(ISNUMBER(BG12)),SUM(BG12,BH12),"-")</s:f>
        <s:v>3884598.3000000003</s:v>
      </s:c>
      <s:c r="BJ12" t="n">
        <s:f>IF(AND(ISNUMBER(AN12),ISNUMBER(Y12),ISNUMBER(I12),I12&lt;&gt;0),(AN12-Y12)/I12,"-")</s:f>
        <s:v>6.656071436670824</s:v>
      </s:c>
      <s:c r="BK12" t="n">
        <s:f>IF(AND(ISNUMBER(AN12),ISNUMBER(I12),I12&lt;&gt;0),AN12/I12,"-")</s:f>
        <s:v>7.788352241250069</s:v>
      </s:c>
      <s:c r="BL12" t="n">
        <s:f>IF(AND(ISNUMBER(BI12),ISNUMBER(Y12),ISNUMBER(I12),I12&lt;&gt;0),(BI12-Y12)/I12,"-")</s:f>
        <s:v>6.876457147569525</s:v>
      </s:c>
      <s:c r="BM12" t="n">
        <s:f>IF(AND(ISNUMBER(BI12),ISNUMBER(I12),I12&lt;&gt;0),BI12/I12,"-")</s:f>
        <s:v>8.00873795214877</s:v>
      </s:c>
    </s:row>
  </s:sheetData>
  <s:autoFilter ref="A1:BM12"/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BM3"/>
  <s:sheetViews>
    <s:sheetView workbookViewId="0">
      <s:pane xSplit="3" ySplit="1" topLeftCell="D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5" customWidth="1" min="1" max="1"/>
    <s:col width="12" customWidth="1" min="2" max="2"/>
    <s:col width="13" customWidth="1" min="3" max="3"/>
    <s:col width="17" customWidth="1" min="4" max="4"/>
    <s:col width="17" customWidth="1" min="5" max="5"/>
    <s:col width="19" customWidth="1" min="6" max="6"/>
    <s:col width="16" customWidth="1" min="7" max="7"/>
    <s:col width="12" customWidth="1" min="8" max="8"/>
    <s:col width="22" customWidth="1" min="9" max="9"/>
    <s:col width="23" customWidth="1" min="10" max="10"/>
    <s:col width="17" customWidth="1" min="11" max="11"/>
    <s:col width="21" customWidth="1" min="12" max="12"/>
    <s:col width="12" customWidth="1" min="13" max="13"/>
    <s:col width="21" customWidth="1" min="14" max="14"/>
    <s:col width="20" customWidth="1" min="15" max="15"/>
    <s:col width="27" customWidth="1" min="16" max="16"/>
    <s:col width="17" customWidth="1" min="17" max="17"/>
    <s:col width="24" customWidth="1" min="18" max="18"/>
    <s:col width="20" customWidth="1" min="19" max="19"/>
    <s:col width="23" customWidth="1" min="20" max="20"/>
    <s:col width="28" customWidth="1" min="21" max="21"/>
    <s:col width="22" customWidth="1" min="22" max="22"/>
    <s:col width="34" customWidth="1" min="23" max="23"/>
    <s:col width="23" customWidth="1" min="24" max="24"/>
    <s:col width="17" customWidth="1" min="25" max="25"/>
    <s:col width="21" customWidth="1" min="26" max="26"/>
    <s:col width="23" customWidth="1" min="27" max="27"/>
    <s:col width="21" customWidth="1" min="28" max="28"/>
    <s:col width="20" customWidth="1" min="29" max="29"/>
    <s:col width="16" customWidth="1" min="30" max="30"/>
    <s:col width="21" customWidth="1" min="31" max="31"/>
    <s:col width="12" customWidth="1" min="32" max="32"/>
    <s:col width="15" customWidth="1" min="33" max="33"/>
    <s:col width="12" customWidth="1" min="34" max="34"/>
    <s:col width="17" customWidth="1" min="35" max="35"/>
    <s:col width="14" customWidth="1" min="36" max="36"/>
    <s:col width="12" customWidth="1" min="37" max="37"/>
    <s:col width="13" customWidth="1" min="38" max="38"/>
    <s:col width="22" customWidth="1" min="39" max="39"/>
    <s:col width="34" customWidth="1" min="40" max="40"/>
    <s:col width="27" customWidth="1" min="41" max="41"/>
    <s:col width="18" customWidth="1" min="42" max="42"/>
    <s:col width="20" customWidth="1" min="43" max="43"/>
    <s:col width="27" customWidth="1" min="44" max="44"/>
    <s:col width="33" customWidth="1" min="45" max="45"/>
    <s:col width="22" customWidth="1" min="46" max="46"/>
    <s:col width="18" customWidth="1" min="47" max="47"/>
    <s:col width="15" customWidth="1" min="48" max="48"/>
    <s:col width="26" customWidth="1" min="49" max="49"/>
    <s:col width="20" customWidth="1" min="50" max="50"/>
    <s:col width="13" customWidth="1" min="51" max="51"/>
    <s:col width="14" customWidth="1" min="52" max="52"/>
    <s:col width="25" customWidth="1" min="53" max="53"/>
    <s:col width="27" customWidth="1" min="54" max="54"/>
    <s:col width="21" customWidth="1" min="55" max="55"/>
    <s:col width="25" customWidth="1" min="56" max="56"/>
    <s:col width="24" customWidth="1" min="57" max="57"/>
    <s:col width="21" customWidth="1" min="58" max="58"/>
    <s:col width="13" customWidth="1" min="59" max="59"/>
    <s:col width="12" customWidth="1" min="60" max="60"/>
    <s:col width="20" customWidth="1" min="61" max="61"/>
    <s:col width="34" customWidth="1" min="62" max="62"/>
    <s:col width="34" customWidth="1" min="63" max="63"/>
    <s:col width="34" customWidth="1" min="64" max="64"/>
    <s:col width="27" customWidth="1" min="65" max="65"/>
  </s:cols>
  <s:sheetData>
    <s:row r="1">
      <s:c r="A1" s="1" t="inlineStr">
        <s:is>
          <s:t>Billing Month</s:t>
        </s:is>
      </s:c>
      <s:c r="B1" s="1" t="inlineStr">
        <s:is>
          <s:t>Meter No.</s:t>
        </s:is>
      </s:c>
      <s:c r="C1" s="1" t="inlineStr">
        <s:is>
          <s:t>Customer ID</s:t>
        </s:is>
      </s:c>
      <s:c r="D1" s="1" t="inlineStr">
        <s:is>
          <s:t>Tarrif Category</s:t>
        </s:is>
      </s:c>
      <s:c r="E1" s="1" t="inlineStr">
        <s:is>
          <s:t>Contract Demand</s:t>
        </s:is>
      </s:c>
      <s:c r="F1" s="1" t="inlineStr">
        <s:is>
          <s:t>Actual Max demand</s:t>
        </s:is>
      </s:c>
      <s:c r="G1" s="1" t="inlineStr">
        <s:is>
          <s:t>Billing Demand</s:t>
        </s:is>
      </s:c>
      <s:c r="H1" s="1" t="inlineStr">
        <s:is>
          <s:t>Avg PF %</s:t>
        </s:is>
      </s:c>
      <s:c r="I1" s="1" t="inlineStr">
        <s:is>
          <s:t>kWh (Units) Consumed</s:t>
        </s:is>
      </s:c>
      <s:c r="J1" s="1" t="inlineStr">
        <s:is>
          <s:t>% Increase in kWh</s:t>
        </s:is>
      </s:c>
      <s:c r="K1" s="1" t="inlineStr">
        <s:is>
          <s:t>Night Hr. Units</s:t>
        </s:is>
      </s:c>
      <s:c r="L1" s="1" t="inlineStr">
        <s:is>
          <s:t>% of Total units</s:t>
        </s:is>
      </s:c>
      <s:c r="M1" s="1" t="inlineStr">
        <s:is>
          <s:t>TOU kWh</s:t>
        </s:is>
      </s:c>
      <s:c r="N1" s="1" t="inlineStr">
        <s:is>
          <s:t>% of Total units</s:t>
        </s:is>
      </s:c>
      <s:c r="O1" s="1" t="inlineStr">
        <s:is>
          <s:t>1/3 of Total Units</s:t>
        </s:is>
      </s:c>
      <s:c r="P1" s="1" t="inlineStr">
        <s:is>
          <s:t>E. Night Concession Units</s:t>
        </s:is>
      </s:c>
      <s:c r="Q1" s="1" t="inlineStr">
        <s:is>
          <s:t>Solar Gen Units</s:t>
        </s:is>
      </s:c>
      <s:c r="R1" s="1" t="inlineStr">
        <s:is>
          <s:t>Solar Net Billed Units</s:t>
        </s:is>
      </s:c>
      <s:c r="S1" s="1" t="inlineStr">
        <s:is>
          <s:t>Solar Setoff Units</s:t>
        </s:is>
      </s:c>
      <s:c r="T1" s="1" t="inlineStr">
        <s:is>
          <s:t>Solar Set-off units %</s:t>
        </s:is>
      </s:c>
      <s:c r="U1" s="1" t="inlineStr">
        <s:is>
          <s:t>Solar Surplus/Export Units</s:t>
        </s:is>
      </s:c>
      <s:c r="V1" s="1" t="inlineStr">
        <s:is>
          <s:t>Solar Surplus %</s:t>
        </s:is>
      </s:c>
      <s:c r="W1" s="1" t="inlineStr">
        <s:is>
          <s:t>Solar Gen. Units considered for banking charges</s:t>
        </s:is>
      </s:c>
      <s:c r="X1" s="1" t="inlineStr">
        <s:is>
          <s:t>Solar Banking Units %</s:t>
        </s:is>
      </s:c>
      <s:c r="Y1" s="1" t="inlineStr">
        <s:is>
          <s:t>Demand Charges</s:t>
        </s:is>
      </s:c>
      <s:c r="Z1" s="1" t="inlineStr">
        <s:is>
          <s:t>Demand Charges %</s:t>
        </s:is>
      </s:c>
      <s:c r="AA1" s="1" t="inlineStr">
        <s:is>
          <s:t>Excess Demand Charges</s:t>
        </s:is>
      </s:c>
      <s:c r="AB1" s="1" t="inlineStr">
        <s:is>
          <s:t>Energy Charges (Rs)</s:t>
        </s:is>
      </s:c>
      <s:c r="AC1" s="1" t="inlineStr">
        <s:is>
          <s:t>Energy Charges %</s:t>
        </s:is>
      </s:c>
      <s:c r="AD1" s="1" t="inlineStr">
        <s:is>
          <s:t>Fuel Surcharge</s:t>
        </s:is>
      </s:c>
      <s:c r="AE1" s="1" t="inlineStr">
        <s:is>
          <s:t>Fuel Surcharge %</s:t>
        </s:is>
      </s:c>
      <s:c r="AF1" s="1" t="inlineStr">
        <s:is>
          <s:t>Base FPPAS</s:t>
        </s:is>
      </s:c>
      <s:c r="AG1" s="1" t="inlineStr">
        <s:is>
          <s:t>FPPAS Charges</s:t>
        </s:is>
      </s:c>
      <s:c r="AH1" s="1" t="inlineStr">
        <s:is>
          <s:t>FPPAS %</s:t>
        </s:is>
      </s:c>
      <s:c r="AI1" s="1" t="inlineStr">
        <s:is>
          <s:t>PF Adjust. (Rs)</s:t>
        </s:is>
      </s:c>
      <s:c r="AJ1" s="1" t="inlineStr">
        <s:is>
          <s:t>Night Rebate</s:t>
        </s:is>
      </s:c>
      <s:c r="AK1" s="1" t="inlineStr">
        <s:is>
          <s:t>EHV Rebate</s:t>
        </s:is>
      </s:c>
      <s:c r="AL1" s="1" t="inlineStr">
        <s:is>
          <s:t>TOU Charges</s:t>
        </s:is>
      </s:c>
      <s:c r="AM1" s="1" t="inlineStr">
        <s:is>
          <s:t>TOU Charges %</s:t>
        </s:is>
      </s:c>
      <s:c r="AN1" s="1" t="inlineStr">
        <s:is>
          <s:t>Total Energy/Consumption Charges</s:t>
        </s:is>
      </s:c>
      <s:c r="AO1" s="1" t="inlineStr">
        <s:is>
          <s:t>Total Consumption Charges</s:t>
        </s:is>
      </s:c>
      <s:c r="AP1" s="1" t="inlineStr">
        <s:is>
          <s:t>Electricity Duty</s:t>
        </s:is>
      </s:c>
      <s:c r="AQ1" s="1" t="inlineStr">
        <s:is>
          <s:t>Current bill Month</s:t>
        </s:is>
      </s:c>
      <s:c r="AR1" s="1" t="inlineStr">
        <s:is>
          <s:t>Solar Banking (Rs1.1/kWh)</s:t>
        </s:is>
      </s:c>
      <s:c r="AS1" s="1" t="inlineStr">
        <s:is>
          <s:t>Solar Credit (Rs.2.25/kWh) (Rs)</s:t>
        </s:is>
      </s:c>
      <s:c r="AT1" s="1" t="inlineStr">
        <s:is>
          <s:t>Solar Set off Credit</s:t>
        </s:is>
      </s:c>
      <s:c r="AU1" s="1" t="inlineStr">
        <s:is>
          <s:t>Wheeling charges</s:t>
        </s:is>
      </s:c>
      <s:c r="AV1" s="1" t="inlineStr">
        <s:is>
          <s:t>Previous Dues</s:t>
        </s:is>
      </s:c>
      <s:c r="AW1" s="1" t="inlineStr">
        <s:is>
          <s:t>Electricity Duty Credits</s:t>
        </s:is>
      </s:c>
      <s:c r="AX1" s="1" t="inlineStr">
        <s:is>
          <s:t>TOU Charge Credits</s:t>
        </s:is>
      </s:c>
      <s:c r="AY1" s="1" t="inlineStr">
        <s:is>
          <s:t>TDS Credits</s:t>
        </s:is>
      </s:c>
      <s:c r="AZ1" s="1" t="inlineStr">
        <s:is>
          <s:t>Other Debits</s:t>
        </s:is>
      </s:c>
      <s:c r="BA1" s="1" t="inlineStr">
        <s:is>
          <s:t>Delayed Payment Charges</s:t>
        </s:is>
      </s:c>
      <s:c r="BB1" s="1" t="inlineStr">
        <s:is>
          <s:t>Security Deposit Interest</s:t>
        </s:is>
      </s:c>
      <s:c r="BC1" s="1" t="inlineStr">
        <s:is>
          <s:t>Other Credits</s:t>
        </s:is>
      </s:c>
      <s:c r="BD1" s="1" t="inlineStr">
        <s:is>
          <s:t>Adv Payment/ Adjustment</s:t>
        </s:is>
      </s:c>
      <s:c r="BE1" s="1" t="inlineStr">
        <s:is>
          <s:t>Formula Adv Adjustment</s:t>
        </s:is>
      </s:c>
      <s:c r="BF1" s="1" t="inlineStr">
        <s:is>
          <s:t>Outstanding Arrears</s:t>
        </s:is>
      </s:c>
      <s:c r="BG1" s="1" t="inlineStr">
        <s:is>
          <s:t>Net Payable</s:t>
        </s:is>
      </s:c>
      <s:c r="BH1" s="1" t="inlineStr">
        <s:is>
          <s:t>TCS</s:t>
        </s:is>
      </s:c>
      <s:c r="BI1" s="1" t="inlineStr">
        <s:is>
          <s:t>Total Payable (Rs)</s:t>
        </s:is>
      </s:c>
      <s:c r="BJ1" s="1" t="inlineStr">
        <s:is>
          <s:t xml:space="preserve">Total Consumption-Demand Charge Unit Rate
</s:t>
        </s:is>
      </s:c>
      <s:c r="BK1" s="1" t="inlineStr">
        <s:is>
          <s:t>Unit Rate (Total Consumption Charge)</s:t>
        </s:is>
      </s:c>
      <s:c r="BL1" s="1" t="inlineStr">
        <s:is>
          <s:t>Total Net Payable – Demand Charge Unit Rate</s:t>
        </s:is>
      </s:c>
      <s:c r="BM1" s="1" t="inlineStr">
        <s:is>
          <s:t>Unit Rate (Total Payable)</s:t>
        </s:is>
      </s:c>
    </s:row>
    <s:row r="2">
      <s:c r="A2" t="inlineStr">
        <s:is>
          <s:t>Summary (SUM / AVERAGE)</s:t>
        </s:is>
      </s:c>
      <s:c r="C2" t="inlineStr">
        <s:is>
          <s:t>30591</s:t>
        </s:is>
      </s:c>
      <s:c r="H2" t="n">
        <s:f>IF(COUNT('Extracted Bills'!H2,'Extracted Bills'!H3,'Extracted Bills'!H4,'Extracted Bills'!H5,'Extracted Bills'!H6,'Extracted Bills'!H7,'Extracted Bills'!H8,'Extracted Bills'!H9,'Extracted Bills'!H10,'Extracted Bills'!H11,'Extracted Bills'!H12)&gt;0,AVERAGE('Extracted Bills'!H2,'Extracted Bills'!H3,'Extracted Bills'!H4,'Extracted Bills'!H5,'Extracted Bills'!H6,'Extracted Bills'!H7,'Extracted Bills'!H8,'Extracted Bills'!H9,'Extracted Bills'!H10,'Extracted Bills'!H11,'Extracted Bills'!H12),"-")</s:f>
        <s:v>0.9901818181818182</s:v>
      </s:c>
      <s:c r="I2" t="n">
        <s:f>IF(COUNT('Extracted Bills'!I2,'Extracted Bills'!I3,'Extracted Bills'!I4,'Extracted Bills'!I5,'Extracted Bills'!I6,'Extracted Bills'!I7,'Extracted Bills'!I8,'Extracted Bills'!I9,'Extracted Bills'!I10,'Extracted Bills'!I11,'Extracted Bills'!I12)&gt;0,AVERAGE('Extracted Bills'!I2,'Extracted Bills'!I3,'Extracted Bills'!I4,'Extracted Bills'!I5,'Extracted Bills'!I6,'Extracted Bills'!I7,'Extracted Bills'!I8,'Extracted Bills'!I9,'Extracted Bills'!I10,'Extracted Bills'!I11,'Extracted Bills'!I12),"-")</s:f>
        <s:v>520255.0</s:v>
      </s:c>
      <s:c r="K2" t="n">
        <s:f>IF(COUNT('Extracted Bills'!K2,'Extracted Bills'!K3,'Extracted Bills'!K4,'Extracted Bills'!K5,'Extracted Bills'!K6,'Extracted Bills'!K7,'Extracted Bills'!K8,'Extracted Bills'!K9,'Extracted Bills'!K10,'Extracted Bills'!K11,'Extracted Bills'!K12)&gt;0,AVERAGE('Extracted Bills'!K2,'Extracted Bills'!K3,'Extracted Bills'!K4,'Extracted Bills'!K5,'Extracted Bills'!K6,'Extracted Bills'!K7,'Extracted Bills'!K8,'Extracted Bills'!K9,'Extracted Bills'!K10,'Extracted Bills'!K11,'Extracted Bills'!K12),"-")</s:f>
        <s:v>162140.45454545456</s:v>
      </s:c>
      <s:c r="L2" s="2" t="n">
        <s:f>IF(COUNT('Extracted Bills'!L2,'Extracted Bills'!L3,'Extracted Bills'!L4,'Extracted Bills'!L5,'Extracted Bills'!L6,'Extracted Bills'!L7,'Extracted Bills'!L8,'Extracted Bills'!L9,'Extracted Bills'!L10,'Extracted Bills'!L11,'Extracted Bills'!L12)&gt;0,AVERAGE('Extracted Bills'!L2,'Extracted Bills'!L3,'Extracted Bills'!L4,'Extracted Bills'!L5,'Extracted Bills'!L6,'Extracted Bills'!L7,'Extracted Bills'!L8,'Extracted Bills'!L9,'Extracted Bills'!L10,'Extracted Bills'!L11,'Extracted Bills'!L12),"-")</s:f>
        <s:v>0.3120328810974634</s:v>
      </s:c>
      <s:c r="M2" t="n">
        <s:f>IF(COUNT('Extracted Bills'!M2,'Extracted Bills'!M3,'Extracted Bills'!M4,'Extracted Bills'!M5,'Extracted Bills'!M6,'Extracted Bills'!M7,'Extracted Bills'!M8,'Extracted Bills'!M9,'Extracted Bills'!M10,'Extracted Bills'!M11,'Extracted Bills'!M12)&gt;0,AVERAGE('Extracted Bills'!M2,'Extracted Bills'!M3,'Extracted Bills'!M4,'Extracted Bills'!M5,'Extracted Bills'!M6,'Extracted Bills'!M7,'Extracted Bills'!M8,'Extracted Bills'!M9,'Extracted Bills'!M10,'Extracted Bills'!M11,'Extracted Bills'!M12),"-")</s:f>
        <s:v>180638.18181818182</s:v>
      </s:c>
      <s:c r="N2" s="2" t="n">
        <s:f>IF(COUNT('Extracted Bills'!N2,'Extracted Bills'!N3,'Extracted Bills'!N4,'Extracted Bills'!N5,'Extracted Bills'!N6,'Extracted Bills'!N7,'Extracted Bills'!N8,'Extracted Bills'!N9,'Extracted Bills'!N10,'Extracted Bills'!N11,'Extracted Bills'!N12)&gt;0,AVERAGE('Extracted Bills'!N2,'Extracted Bills'!N3,'Extracted Bills'!N4,'Extracted Bills'!N5,'Extracted Bills'!N6,'Extracted Bills'!N7,'Extracted Bills'!N8,'Extracted Bills'!N9,'Extracted Bills'!N10,'Extracted Bills'!N11,'Extracted Bills'!N12),"-")</s:f>
        <s:v>0.3474361646116154</s:v>
      </s:c>
      <s:c r="O2" t="n">
        <s:f>IF(COUNT('Extracted Bills'!O2,'Extracted Bills'!O3,'Extracted Bills'!O4,'Extracted Bills'!O5,'Extracted Bills'!O6,'Extracted Bills'!O7,'Extracted Bills'!O8,'Extracted Bills'!O9,'Extracted Bills'!O10,'Extracted Bills'!O11,'Extracted Bills'!O12)&gt;0,AVERAGE('Extracted Bills'!O2,'Extracted Bills'!O3,'Extracted Bills'!O4,'Extracted Bills'!O5,'Extracted Bills'!O6,'Extracted Bills'!O7,'Extracted Bills'!O8,'Extracted Bills'!O9,'Extracted Bills'!O10,'Extracted Bills'!O11,'Extracted Bills'!O12),"-")</s:f>
        <s:v>173418.45454545456</s:v>
      </s:c>
      <s:c r="Q2" t="n">
        <s:f>IF(COUNT('Extracted Bills'!Q2,'Extracted Bills'!Q3,'Extracted Bills'!Q4,'Extracted Bills'!Q5,'Extracted Bills'!Q6,'Extracted Bills'!Q7,'Extracted Bills'!Q8,'Extracted Bills'!Q9,'Extracted Bills'!Q10,'Extracted Bills'!Q11,'Extracted Bills'!Q12)&gt;0,SUM('Extracted Bills'!Q2,'Extracted Bills'!Q3,'Extracted Bills'!Q4,'Extracted Bills'!Q5,'Extracted Bills'!Q6,'Extracted Bills'!Q7,'Extracted Bills'!Q8,'Extracted Bills'!Q9,'Extracted Bills'!Q10,'Extracted Bills'!Q11,'Extracted Bills'!Q12),"-")</s:f>
        <s:v>558374</s:v>
      </s:c>
      <s:c r="T2" s="2" t="n">
        <s:f>IF(COUNT('Extracted Bills'!T2,'Extracted Bills'!T3,'Extracted Bills'!T4,'Extracted Bills'!T5,'Extracted Bills'!T6,'Extracted Bills'!T7,'Extracted Bills'!T8,'Extracted Bills'!T9,'Extracted Bills'!T10,'Extracted Bills'!T11,'Extracted Bills'!T12)&gt;0,AVERAGE('Extracted Bills'!T2,'Extracted Bills'!T3,'Extracted Bills'!T4,'Extracted Bills'!T5,'Extracted Bills'!T6,'Extracted Bills'!T7,'Extracted Bills'!T8,'Extracted Bills'!T9,'Extracted Bills'!T10,'Extracted Bills'!T11,'Extracted Bills'!T12),"-")</s:f>
        <s:v>0.022762062896413058</s:v>
      </s:c>
      <s:c r="V2" s="2" t="n">
        <s:f>IF(COUNT('Extracted Bills'!V2,'Extracted Bills'!V3,'Extracted Bills'!V4,'Extracted Bills'!V5,'Extracted Bills'!V6,'Extracted Bills'!V7,'Extracted Bills'!V8,'Extracted Bills'!V9,'Extracted Bills'!V10,'Extracted Bills'!V11,'Extracted Bills'!V12)&gt;0,AVERAGE('Extracted Bills'!V2,'Extracted Bills'!V3,'Extracted Bills'!V4,'Extracted Bills'!V5,'Extracted Bills'!V6,'Extracted Bills'!V7,'Extracted Bills'!V8,'Extracted Bills'!V9,'Extracted Bills'!V10,'Extracted Bills'!V11,'Extracted Bills'!V12),"-")</s:f>
        <s:v>0.041499644480805266</s:v>
      </s:c>
      <s:c r="W2" t="n">
        <s:f>IF(COUNT('Extracted Bills'!W2,'Extracted Bills'!W3,'Extracted Bills'!W4,'Extracted Bills'!W5,'Extracted Bills'!W6,'Extracted Bills'!W7,'Extracted Bills'!W8,'Extracted Bills'!W9,'Extracted Bills'!W10,'Extracted Bills'!W11,'Extracted Bills'!W12)&gt;0,AVERAGE('Extracted Bills'!W2,'Extracted Bills'!W3,'Extracted Bills'!W4,'Extracted Bills'!W5,'Extracted Bills'!W6,'Extracted Bills'!W7,'Extracted Bills'!W8,'Extracted Bills'!W9,'Extracted Bills'!W10,'Extracted Bills'!W11,'Extracted Bills'!W12),"-")</s:f>
        <s:v>48619.63636363636</s:v>
      </s:c>
      <s:c r="X2" s="2" t="n">
        <s:f>IF(COUNT('Extracted Bills'!X2,'Extracted Bills'!X3,'Extracted Bills'!X4,'Extracted Bills'!X5,'Extracted Bills'!X6,'Extracted Bills'!X7,'Extracted Bills'!X8,'Extracted Bills'!X9,'Extracted Bills'!X10,'Extracted Bills'!X11,'Extracted Bills'!X12)&gt;0,AVERAGE('Extracted Bills'!X2,'Extracted Bills'!X3,'Extracted Bills'!X4,'Extracted Bills'!X5,'Extracted Bills'!X6,'Extracted Bills'!X7,'Extracted Bills'!X8,'Extracted Bills'!X9,'Extracted Bills'!X10,'Extracted Bills'!X11,'Extracted Bills'!X12),"-")</s:f>
        <s:v>0.9585003555191947</s:v>
      </s:c>
      <s:c r="Y2" t="n">
        <s:f>IF(COUNT('Extracted Bills'!Y2,'Extracted Bills'!Y3,'Extracted Bills'!Y4,'Extracted Bills'!Y5,'Extracted Bills'!Y6,'Extracted Bills'!Y7,'Extracted Bills'!Y8,'Extracted Bills'!Y9,'Extracted Bills'!Y10,'Extracted Bills'!Y11,'Extracted Bills'!Y12)&gt;0,SUM('Extracted Bills'!Y2,'Extracted Bills'!Y3,'Extracted Bills'!Y4,'Extracted Bills'!Y5,'Extracted Bills'!Y6,'Extracted Bills'!Y7,'Extracted Bills'!Y8,'Extracted Bills'!Y9,'Extracted Bills'!Y10,'Extracted Bills'!Y11,'Extracted Bills'!Y12),"-")</s:f>
        <s:v>4211832.14285714</s:v>
      </s:c>
      <s:c r="Z2" s="2" t="n">
        <s:f>IF(COUNT('Extracted Bills'!Z2,'Extracted Bills'!Z3,'Extracted Bills'!Z4,'Extracted Bills'!Z5,'Extracted Bills'!Z6,'Extracted Bills'!Z7,'Extracted Bills'!Z8,'Extracted Bills'!Z9,'Extracted Bills'!Z10,'Extracted Bills'!Z11,'Extracted Bills'!Z12)&gt;0,AVERAGE('Extracted Bills'!Z2,'Extracted Bills'!Z3,'Extracted Bills'!Z4,'Extracted Bills'!Z5,'Extracted Bills'!Z6,'Extracted Bills'!Z7,'Extracted Bills'!Z8,'Extracted Bills'!Z9,'Extracted Bills'!Z10,'Extracted Bills'!Z11,'Extracted Bills'!Z12),"-")</s:f>
        <s:v>0.1005823231537852</s:v>
      </s:c>
      <s:c r="AB2" t="n">
        <s:f>IF(COUNT('Extracted Bills'!AB2,'Extracted Bills'!AB3,'Extracted Bills'!AB4,'Extracted Bills'!AB5,'Extracted Bills'!AB6,'Extracted Bills'!AB7,'Extracted Bills'!AB8,'Extracted Bills'!AB9,'Extracted Bills'!AB10,'Extracted Bills'!AB11,'Extracted Bills'!AB12)&gt;0,SUM('Extracted Bills'!AB2,'Extracted Bills'!AB3,'Extracted Bills'!AB4,'Extracted Bills'!AB5,'Extracted Bills'!AB6,'Extracted Bills'!AB7,'Extracted Bills'!AB8,'Extracted Bills'!AB9,'Extracted Bills'!AB10,'Extracted Bills'!AB11,'Extracted Bills'!AB12),"-")</s:f>
        <s:v>24035781</s:v>
      </s:c>
      <s:c r="AC2" s="2" t="n">
        <s:f>IF(COUNT('Extracted Bills'!AC2,'Extracted Bills'!AC3,'Extracted Bills'!AC4,'Extracted Bills'!AC5,'Extracted Bills'!AC6,'Extracted Bills'!AC7,'Extracted Bills'!AC8,'Extracted Bills'!AC9,'Extracted Bills'!AC10,'Extracted Bills'!AC11,'Extracted Bills'!AC12)&gt;0,AVERAGE('Extracted Bills'!AC2,'Extracted Bills'!AC3,'Extracted Bills'!AC4,'Extracted Bills'!AC5,'Extracted Bills'!AC6,'Extracted Bills'!AC7,'Extracted Bills'!AC8,'Extracted Bills'!AC9,'Extracted Bills'!AC10,'Extracted Bills'!AC11,'Extracted Bills'!AC12),"-")</s:f>
        <s:v>0.5604347151503322</s:v>
      </s:c>
      <s:c r="AD2" t="n">
        <s:f>IF(COUNT('Extracted Bills'!AD2,'Extracted Bills'!AD3,'Extracted Bills'!AD4,'Extracted Bills'!AD5,'Extracted Bills'!AD6,'Extracted Bills'!AD7,'Extracted Bills'!AD8,'Extracted Bills'!AD9,'Extracted Bills'!AD10,'Extracted Bills'!AD11,'Extracted Bills'!AD12)&gt;0,SUM('Extracted Bills'!AD2,'Extracted Bills'!AD3,'Extracted Bills'!AD4,'Extracted Bills'!AD5,'Extracted Bills'!AD6,'Extracted Bills'!AD7,'Extracted Bills'!AD8,'Extracted Bills'!AD9,'Extracted Bills'!AD10,'Extracted Bills'!AD11,'Extracted Bills'!AD12),"-")</s:f>
        <s:v>13564315.0</s:v>
      </s:c>
      <s:c r="AE2" s="2" t="n">
        <s:f>IF(COUNT('Extracted Bills'!AE2,'Extracted Bills'!AE3,'Extracted Bills'!AE4,'Extracted Bills'!AE5,'Extracted Bills'!AE6,'Extracted Bills'!AE7,'Extracted Bills'!AE8,'Extracted Bills'!AE9,'Extracted Bills'!AE10,'Extracted Bills'!AE11,'Extracted Bills'!AE12)&gt;0,AVERAGE('Extracted Bills'!AE2,'Extracted Bills'!AE3,'Extracted Bills'!AE4,'Extracted Bills'!AE5,'Extracted Bills'!AE6,'Extracted Bills'!AE7,'Extracted Bills'!AE8,'Extracted Bills'!AE9,'Extracted Bills'!AE10,'Extracted Bills'!AE11,'Extracted Bills'!AE12),"-")</s:f>
        <s:v>0.31595245246417797</s:v>
      </s:c>
      <s:c r="AI2" t="n">
        <s:f>IF(COUNT('Extracted Bills'!AI2,'Extracted Bills'!AI3,'Extracted Bills'!AI4,'Extracted Bills'!AI5,'Extracted Bills'!AI6,'Extracted Bills'!AI7,'Extracted Bills'!AI8,'Extracted Bills'!AI9,'Extracted Bills'!AI10,'Extracted Bills'!AI11,'Extracted Bills'!AI12)&gt;0,SUM('Extracted Bills'!AI2,'Extracted Bills'!AI3,'Extracted Bills'!AI4,'Extracted Bills'!AI5,'Extracted Bills'!AI6,'Extracted Bills'!AI7,'Extracted Bills'!AI8,'Extracted Bills'!AI9,'Extracted Bills'!AI10,'Extracted Bills'!AI11,'Extracted Bills'!AI12),"-")</s:f>
        <s:v>-479020.93</s:v>
      </s:c>
      <s:c r="AK2" t="n">
        <s:f>IF(COUNT('Extracted Bills'!AK2,'Extracted Bills'!AK3,'Extracted Bills'!AK4,'Extracted Bills'!AK5,'Extracted Bills'!AK6,'Extracted Bills'!AK7,'Extracted Bills'!AK8,'Extracted Bills'!AK9,'Extracted Bills'!AK10,'Extracted Bills'!AK11,'Extracted Bills'!AK12)&gt;0,SUM('Extracted Bills'!AK2,'Extracted Bills'!AK3,'Extracted Bills'!AK4,'Extracted Bills'!AK5,'Extracted Bills'!AK6,'Extracted Bills'!AK7,'Extracted Bills'!AK8,'Extracted Bills'!AK9,'Extracted Bills'!AK10,'Extracted Bills'!AK11,'Extracted Bills'!AK12),"-")</s:f>
        <s:v>-224416.71</s:v>
      </s:c>
      <s:c r="AL2" t="n">
        <s:f>IF(COUNT('Extracted Bills'!AL2,'Extracted Bills'!AL3,'Extracted Bills'!AL4,'Extracted Bills'!AL5,'Extracted Bills'!AL6,'Extracted Bills'!AL7,'Extracted Bills'!AL8,'Extracted Bills'!AL9,'Extracted Bills'!AL10,'Extracted Bills'!AL11,'Extracted Bills'!AL12)&gt;0,SUM('Extracted Bills'!AL2,'Extracted Bills'!AL3,'Extracted Bills'!AL4,'Extracted Bills'!AL5,'Extracted Bills'!AL6,'Extracted Bills'!AL7,'Extracted Bills'!AL8,'Extracted Bills'!AL9,'Extracted Bills'!AL10,'Extracted Bills'!AL11,'Extracted Bills'!AL12),"-")</s:f>
        <s:v>1688967.0</s:v>
      </s:c>
      <s:c r="AM2" s="2" t="n">
        <s:f>IF(COUNT('Extracted Bills'!AM2,'Extracted Bills'!AM3,'Extracted Bills'!AM4,'Extracted Bills'!AM5,'Extracted Bills'!AM6,'Extracted Bills'!AM7,'Extracted Bills'!AM8,'Extracted Bills'!AM9,'Extracted Bills'!AM10,'Extracted Bills'!AM11,'Extracted Bills'!AM12)&gt;0,AVERAGE('Extracted Bills'!AM2,'Extracted Bills'!AM3,'Extracted Bills'!AM4,'Extracted Bills'!AM5,'Extracted Bills'!AM6,'Extracted Bills'!AM7,'Extracted Bills'!AM8,'Extracted Bills'!AM9,'Extracted Bills'!AM10,'Extracted Bills'!AM11,'Extracted Bills'!AM12),"-")</s:f>
        <s:v>0.03939696068627108</s:v>
      </s:c>
      <s:c r="AN2" t="n">
        <s:f>IF(COUNT('Extracted Bills'!AN2,'Extracted Bills'!AN3,'Extracted Bills'!AN4,'Extracted Bills'!AN5,'Extracted Bills'!AN6,'Extracted Bills'!AN7,'Extracted Bills'!AN8,'Extracted Bills'!AN9,'Extracted Bills'!AN10,'Extracted Bills'!AN11,'Extracted Bills'!AN12)&gt;0,SUM('Extracted Bills'!AN2,'Extracted Bills'!AN3,'Extracted Bills'!AN4,'Extracted Bills'!AN5,'Extracted Bills'!AN6,'Extracted Bills'!AN7,'Extracted Bills'!AN8,'Extracted Bills'!AN9,'Extracted Bills'!AN10,'Extracted Bills'!AN11,'Extracted Bills'!AN12),"-")</s:f>
        <s:v>42797457.50285714</s:v>
      </s:c>
      <s:c r="AO2" t="n">
        <s:f>IF(COUNT('Extracted Bills'!AO2,'Extracted Bills'!AO3,'Extracted Bills'!AO4,'Extracted Bills'!AO5,'Extracted Bills'!AO6,'Extracted Bills'!AO7,'Extracted Bills'!AO8,'Extracted Bills'!AO9,'Extracted Bills'!AO10,'Extracted Bills'!AO11,'Extracted Bills'!AO12)&gt;0,SUM('Extracted Bills'!AO2,'Extracted Bills'!AO3,'Extracted Bills'!AO4,'Extracted Bills'!AO5,'Extracted Bills'!AO6,'Extracted Bills'!AO7,'Extracted Bills'!AO8,'Extracted Bills'!AO9,'Extracted Bills'!AO10,'Extracted Bills'!AO11,'Extracted Bills'!AO12),"-")</s:f>
        <s:v>42859171.79</s:v>
      </s:c>
      <s:c r="AP2" t="n">
        <s:f>IF(COUNT('Extracted Bills'!AP2,'Extracted Bills'!AP3,'Extracted Bills'!AP4,'Extracted Bills'!AP5,'Extracted Bills'!AP6,'Extracted Bills'!AP7,'Extracted Bills'!AP8,'Extracted Bills'!AP9,'Extracted Bills'!AP10,'Extracted Bills'!AP11,'Extracted Bills'!AP12)&gt;0,SUM('Extracted Bills'!AP2,'Extracted Bills'!AP3,'Extracted Bills'!AP4,'Extracted Bills'!AP5,'Extracted Bills'!AP6,'Extracted Bills'!AP7,'Extracted Bills'!AP8,'Extracted Bills'!AP9,'Extracted Bills'!AP10,'Extracted Bills'!AP11,'Extracted Bills'!AP12),"-")</s:f>
        <s:v>0</s:v>
      </s:c>
      <s:c r="AQ2" t="n">
        <s:f>IF(COUNT('Extracted Bills'!AQ2,'Extracted Bills'!AQ3,'Extracted Bills'!AQ4,'Extracted Bills'!AQ5,'Extracted Bills'!AQ6,'Extracted Bills'!AQ7,'Extracted Bills'!AQ8,'Extracted Bills'!AQ9,'Extracted Bills'!AQ10,'Extracted Bills'!AQ11,'Extracted Bills'!AQ12)&gt;0,AVERAGE('Extracted Bills'!AQ2,'Extracted Bills'!AQ3,'Extracted Bills'!AQ4,'Extracted Bills'!AQ5,'Extracted Bills'!AQ6,'Extracted Bills'!AQ7,'Extracted Bills'!AQ8,'Extracted Bills'!AQ9,'Extracted Bills'!AQ10,'Extracted Bills'!AQ11,'Extracted Bills'!AQ12),"-")</s:f>
        <s:v>3896288.3445454543</s:v>
      </s:c>
      <s:c r="AR2" t="n">
        <s:f>IF(COUNT('Extracted Bills'!AR2,'Extracted Bills'!AR3,'Extracted Bills'!AR4,'Extracted Bills'!AR5,'Extracted Bills'!AR6,'Extracted Bills'!AR7,'Extracted Bills'!AR8,'Extracted Bills'!AR9,'Extracted Bills'!AR10,'Extracted Bills'!AR11,'Extracted Bills'!AR12)&gt;0,SUM('Extracted Bills'!AR2,'Extracted Bills'!AR3,'Extracted Bills'!AR4,'Extracted Bills'!AR5,'Extracted Bills'!AR6,'Extracted Bills'!AR7,'Extracted Bills'!AR8,'Extracted Bills'!AR9,'Extracted Bills'!AR10,'Extracted Bills'!AR11,'Extracted Bills'!AR12),"-")</s:f>
        <s:v>802224.0</s:v>
      </s:c>
      <s:c r="BD2" t="n">
        <s:f>IF(COUNT('Extracted Bills'!BD2,'Extracted Bills'!BD3,'Extracted Bills'!BD4,'Extracted Bills'!BD5,'Extracted Bills'!BD6,'Extracted Bills'!BD7,'Extracted Bills'!BD8,'Extracted Bills'!BD9,'Extracted Bills'!BD10,'Extracted Bills'!BD11,'Extracted Bills'!BD12)&gt;0,SUM('Extracted Bills'!BD2,'Extracted Bills'!BD3,'Extracted Bills'!BD4,'Extracted Bills'!BD5,'Extracted Bills'!BD6,'Extracted Bills'!BD7,'Extracted Bills'!BD8,'Extracted Bills'!BD9,'Extracted Bills'!BD10,'Extracted Bills'!BD11,'Extracted Bills'!BD12),"-")</s:f>
        <s:v>487178.63</s:v>
      </s:c>
      <s:c r="BE2" t="n">
        <s:f>IF(COUNT('Extracted Bills'!BE2,'Extracted Bills'!BE3,'Extracted Bills'!BE4,'Extracted Bills'!BE5,'Extracted Bills'!BE6,'Extracted Bills'!BE7,'Extracted Bills'!BE8,'Extracted Bills'!BE9,'Extracted Bills'!BE10,'Extracted Bills'!BE11,'Extracted Bills'!BE12)&gt;0,SUM('Extracted Bills'!BE2,'Extracted Bills'!BE3,'Extracted Bills'!BE4,'Extracted Bills'!BE5,'Extracted Bills'!BE6,'Extracted Bills'!BE7,'Extracted Bills'!BE8,'Extracted Bills'!BE9,'Extracted Bills'!BE10,'Extracted Bills'!BE11,'Extracted Bills'!BE12),"-")</s:f>
        <s:v>494544.4</s:v>
      </s:c>
      <s:c r="BF2" t="n">
        <s:f>IF(COUNT('Extracted Bills'!BF2,'Extracted Bills'!BF3,'Extracted Bills'!BF4,'Extracted Bills'!BF5,'Extracted Bills'!BF6,'Extracted Bills'!BF7,'Extracted Bills'!BF8,'Extracted Bills'!BF9,'Extracted Bills'!BF10,'Extracted Bills'!BF11,'Extracted Bills'!BF12)&gt;0,SUM('Extracted Bills'!BF2,'Extracted Bills'!BF3,'Extracted Bills'!BF4,'Extracted Bills'!BF5,'Extracted Bills'!BF6,'Extracted Bills'!BF7,'Extracted Bills'!BF8,'Extracted Bills'!BF9,'Extracted Bills'!BF10,'Extracted Bills'!BF11,'Extracted Bills'!BF12),"-")</s:f>
        <s:v>8122.67</s:v>
      </s:c>
      <s:c r="BG2" t="n">
        <s:f>IF(COUNT('Extracted Bills'!BG2,'Extracted Bills'!BG3,'Extracted Bills'!BG4,'Extracted Bills'!BG5,'Extracted Bills'!BG6,'Extracted Bills'!BG7,'Extracted Bills'!BG8,'Extracted Bills'!BG9,'Extracted Bills'!BG10,'Extracted Bills'!BG11,'Extracted Bills'!BG12)&gt;0,AVERAGE('Extracted Bills'!BG2,'Extracted Bills'!BG3,'Extracted Bills'!BG4,'Extracted Bills'!BG5,'Extracted Bills'!BG6,'Extracted Bills'!BG7,'Extracted Bills'!BG8,'Extracted Bills'!BG9,'Extracted Bills'!BG10,'Extracted Bills'!BG11,'Extracted Bills'!BG12),"-")</s:f>
        <s:v>3941985.350909091</s:v>
      </s:c>
      <s:c r="BI2" t="n">
        <s:f>IF(COUNT('Extracted Bills'!BI2,'Extracted Bills'!BI3,'Extracted Bills'!BI4,'Extracted Bills'!BI5,'Extracted Bills'!BI6,'Extracted Bills'!BI7,'Extracted Bills'!BI8,'Extracted Bills'!BI9,'Extracted Bills'!BI10,'Extracted Bills'!BI11,'Extracted Bills'!BI12)&gt;0,AVERAGE('Extracted Bills'!BI2,'Extracted Bills'!BI3,'Extracted Bills'!BI4,'Extracted Bills'!BI5,'Extracted Bills'!BI6,'Extracted Bills'!BI7,'Extracted Bills'!BI8,'Extracted Bills'!BI9,'Extracted Bills'!BI10,'Extracted Bills'!BI11,'Extracted Bills'!BI12),"-")</s:f>
        <s:v>3941985.350909091</s:v>
      </s:c>
      <s:c r="BJ2" t="n">
        <s:f>IF(COUNT('Extracted Bills'!BJ2,'Extracted Bills'!BJ3,'Extracted Bills'!BJ4,'Extracted Bills'!BJ5,'Extracted Bills'!BJ6,'Extracted Bills'!BJ7,'Extracted Bills'!BJ8,'Extracted Bills'!BJ9,'Extracted Bills'!BJ10,'Extracted Bills'!BJ11,'Extracted Bills'!BJ12)&gt;0,AVERAGE('Extracted Bills'!BJ2,'Extracted Bills'!BJ3,'Extracted Bills'!BJ4,'Extracted Bills'!BJ5,'Extracted Bills'!BJ6,'Extracted Bills'!BJ7,'Extracted Bills'!BJ8,'Extracted Bills'!BJ9,'Extracted Bills'!BJ10,'Extracted Bills'!BJ11,'Extracted Bills'!BJ12),"-")</s:f>
        <s:v>6.740938922201263</s:v>
      </s:c>
      <s:c r="BK2" t="n">
        <s:f>IF(COUNT('Extracted Bills'!BK2,'Extracted Bills'!BK3,'Extracted Bills'!BK4,'Extracted Bills'!BK5,'Extracted Bills'!BK6,'Extracted Bills'!BK7,'Extracted Bills'!BK8,'Extracted Bills'!BK9,'Extracted Bills'!BK10,'Extracted Bills'!BK11,'Extracted Bills'!BK12)&gt;0,AVERAGE('Extracted Bills'!BK2,'Extracted Bills'!BK3,'Extracted Bills'!BK4,'Extracted Bills'!BK5,'Extracted Bills'!BK6,'Extracted Bills'!BK7,'Extracted Bills'!BK8,'Extracted Bills'!BK9,'Extracted Bills'!BK10,'Extracted Bills'!BK11,'Extracted Bills'!BK12),"-")</s:f>
        <s:v>7.497534765986839</s:v>
      </s:c>
      <s:c r="BL2" t="n">
        <s:f>IF(COUNT('Extracted Bills'!BL2,'Extracted Bills'!BL3,'Extracted Bills'!BL4,'Extracted Bills'!BL5,'Extracted Bills'!BL6,'Extracted Bills'!BL7,'Extracted Bills'!BL8,'Extracted Bills'!BL9,'Extracted Bills'!BL10,'Extracted Bills'!BL11,'Extracted Bills'!BL12)&gt;0,AVERAGE('Extracted Bills'!BL2,'Extracted Bills'!BL3,'Extracted Bills'!BL4,'Extracted Bills'!BL5,'Extracted Bills'!BL6,'Extracted Bills'!BL7,'Extracted Bills'!BL8,'Extracted Bills'!BL9,'Extracted Bills'!BL10,'Extracted Bills'!BL11,'Extracted Bills'!BL12),"-")</s:f>
        <s:v>6.847335742262834</s:v>
      </s:c>
      <s:c r="BM2" t="n">
        <s:f>IF(COUNT('Extracted Bills'!BM2,'Extracted Bills'!BM3,'Extracted Bills'!BM4,'Extracted Bills'!BM5,'Extracted Bills'!BM6,'Extracted Bills'!BM7,'Extracted Bills'!BM8,'Extracted Bills'!BM9,'Extracted Bills'!BM10,'Extracted Bills'!BM11,'Extracted Bills'!BM12)&gt;0,AVERAGE('Extracted Bills'!BM2,'Extracted Bills'!BM3,'Extracted Bills'!BM4,'Extracted Bills'!BM5,'Extracted Bills'!BM6,'Extracted Bills'!BM7,'Extracted Bills'!BM8,'Extracted Bills'!BM9,'Extracted Bills'!BM10,'Extracted Bills'!BM11,'Extracted Bills'!BM12),"-")</s:f>
        <s:v>7.60393158604841</s:v>
      </s:c>
    </s:row>
    <s:row r="3">
      <s:c r="A3" t="inlineStr">
        <s:is>
          <s:t>Totals</s:t>
        </s:is>
      </s:c>
      <s:c r="C3" t="inlineStr">
        <s:is>
          <s:t>30591</s:t>
        </s:is>
      </s:c>
      <s:c r="I3" t="n">
        <s:f>IF(COUNT('Extracted Bills'!I2,'Extracted Bills'!I3,'Extracted Bills'!I4,'Extracted Bills'!I5,'Extracted Bills'!I6,'Extracted Bills'!I7,'Extracted Bills'!I8,'Extracted Bills'!I9,'Extracted Bills'!I10,'Extracted Bills'!I11,'Extracted Bills'!I12)&gt;0,SUM('Extracted Bills'!I2,'Extracted Bills'!I3,'Extracted Bills'!I4,'Extracted Bills'!I5,'Extracted Bills'!I6,'Extracted Bills'!I7,'Extracted Bills'!I8,'Extracted Bills'!I9,'Extracted Bills'!I10,'Extracted Bills'!I11,'Extracted Bills'!I12),"-")</s:f>
        <s:v>5722805</s:v>
      </s:c>
      <s:c r="K3" t="n">
        <s:f>IF(COUNT('Extracted Bills'!K2,'Extracted Bills'!K3,'Extracted Bills'!K4,'Extracted Bills'!K5,'Extracted Bills'!K6,'Extracted Bills'!K7,'Extracted Bills'!K8,'Extracted Bills'!K9,'Extracted Bills'!K10,'Extracted Bills'!K11,'Extracted Bills'!K12)&gt;0,SUM('Extracted Bills'!K2,'Extracted Bills'!K3,'Extracted Bills'!K4,'Extracted Bills'!K5,'Extracted Bills'!K6,'Extracted Bills'!K7,'Extracted Bills'!K8,'Extracted Bills'!K9,'Extracted Bills'!K10,'Extracted Bills'!K11,'Extracted Bills'!K12),"-")</s:f>
        <s:v>1783545</s:v>
      </s:c>
      <s:c r="M3" t="n">
        <s:f>IF(COUNT('Extracted Bills'!M2,'Extracted Bills'!M3,'Extracted Bills'!M4,'Extracted Bills'!M5,'Extracted Bills'!M6,'Extracted Bills'!M7,'Extracted Bills'!M8,'Extracted Bills'!M9,'Extracted Bills'!M10,'Extracted Bills'!M11,'Extracted Bills'!M12)&gt;0,SUM('Extracted Bills'!M2,'Extracted Bills'!M3,'Extracted Bills'!M4,'Extracted Bills'!M5,'Extracted Bills'!M6,'Extracted Bills'!M7,'Extracted Bills'!M8,'Extracted Bills'!M9,'Extracted Bills'!M10,'Extracted Bills'!M11,'Extracted Bills'!M12),"-")</s:f>
        <s:v>1987020</s:v>
      </s:c>
      <s:c r="O3" t="n">
        <s:f>IF(COUNT('Extracted Bills'!O2,'Extracted Bills'!O3,'Extracted Bills'!O4,'Extracted Bills'!O5,'Extracted Bills'!O6,'Extracted Bills'!O7,'Extracted Bills'!O8,'Extracted Bills'!O9,'Extracted Bills'!O10,'Extracted Bills'!O11,'Extracted Bills'!O12)&gt;0,SUM('Extracted Bills'!O2,'Extracted Bills'!O3,'Extracted Bills'!O4,'Extracted Bills'!O5,'Extracted Bills'!O6,'Extracted Bills'!O7,'Extracted Bills'!O8,'Extracted Bills'!O9,'Extracted Bills'!O10,'Extracted Bills'!O11,'Extracted Bills'!O12),"-")</s:f>
        <s:v>1907603</s:v>
      </s:c>
      <s:c r="BG3" t="n">
        <s:f>IF(COUNT('Extracted Bills'!BG2,'Extracted Bills'!BG3,'Extracted Bills'!BG4,'Extracted Bills'!BG5,'Extracted Bills'!BG6,'Extracted Bills'!BG7,'Extracted Bills'!BG8,'Extracted Bills'!BG9,'Extracted Bills'!BG10,'Extracted Bills'!BG11,'Extracted Bills'!BG12)&gt;0,SUM('Extracted Bills'!BG2,'Extracted Bills'!BG3,'Extracted Bills'!BG4,'Extracted Bills'!BG5,'Extracted Bills'!BG6,'Extracted Bills'!BG7,'Extracted Bills'!BG8,'Extracted Bills'!BG9,'Extracted Bills'!BG10,'Extracted Bills'!BG11,'Extracted Bills'!BG12),"-")</s:f>
        <s:v>43361838.86</s:v>
      </s:c>
      <s:c r="BI3" t="n">
        <s:f>IF(COUNT('Extracted Bills'!BI2,'Extracted Bills'!BI3,'Extracted Bills'!BI4,'Extracted Bills'!BI5,'Extracted Bills'!BI6,'Extracted Bills'!BI7,'Extracted Bills'!BI8,'Extracted Bills'!BI9,'Extracted Bills'!BI10,'Extracted Bills'!BI11,'Extracted Bills'!BI12)&gt;0,SUM('Extracted Bills'!BI2,'Extracted Bills'!BI3,'Extracted Bills'!BI4,'Extracted Bills'!BI5,'Extracted Bills'!BI6,'Extracted Bills'!BI7,'Extracted Bills'!BI8,'Extracted Bills'!BI9,'Extracted Bills'!BI10,'Extracted Bills'!BI11,'Extracted Bills'!BI12),"-")</s:f>
        <s:v>43361838.86</s:v>
      </s:c>
    </s:row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D12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0" customWidth="1" min="1" max="1"/>
    <s:col width="45" customWidth="1" min="2" max="2"/>
    <s:col width="15" customWidth="1" min="3" max="3"/>
    <s:col width="80" customWidth="1" min="4" max="4"/>
  </s:cols>
  <s:sheetData>
    <s:row r="1">
      <s:c r="A1" s="3" t="inlineStr">
        <s:is>
          <s:t>Provider</s:t>
        </s:is>
      </s:c>
      <s:c r="B1" s="3" t="inlineStr">
        <s:is>
          <s:t>Filename</s:t>
        </s:is>
      </s:c>
      <s:c r="C1" s="3" t="inlineStr">
        <s:is>
          <s:t>Pages</s:t>
        </s:is>
      </s:c>
      <s:c r="D1" s="3" t="inlineStr">
        <s:is>
          <s:t>Warnings</s:t>
        </s:is>
      </s:c>
    </s:row>
    <s:row r="2">
      <s:c r="A2" t="inlineStr">
        <s:is>
          <s:t>UGVCL</s:t>
        </s:is>
      </s:c>
      <s:c r="B2" t="inlineStr">
        <s:is>
          <s:t>MEDHA UGVCL-APRIL 25.pdf</s:t>
        </s:is>
      </s:c>
      <s:c r="C2" t="inlineStr">
        <s:is>
          <s:t>1, 2</s:t>
        </s:is>
      </s:c>
      <s:c r="D2" t="inlineStr">
        <s:is>
          <s:t>Calculated adjustment does not match the adjustment printed on the bill.</s:t>
        </s:is>
      </s:c>
    </s:row>
    <s:row r="3">
      <s:c r="A3" t="inlineStr">
        <s:is>
          <s:t>UGVCL</s:t>
        </s:is>
      </s:c>
      <s:c r="B3" t="inlineStr">
        <s:is>
          <s:t>MEDHA UGVCL-MAY 25.pdf</s:t>
        </s:is>
      </s:c>
      <s:c r="C3" t="inlineStr">
        <s:is>
          <s:t>1, 2</s:t>
        </s:is>
      </s:c>
      <s:c r="D3" t="inlineStr">
        <s:is>
          <s:t>Calculated adjustment does not match the adjustment printed on the bill.</s:t>
        </s:is>
      </s:c>
    </s:row>
    <s:row r="4">
      <s:c r="A4" t="inlineStr">
        <s:is>
          <s:t>UGVCL</s:t>
        </s:is>
      </s:c>
      <s:c r="B4" t="inlineStr">
        <s:is>
          <s:t>MEDHA UGVCL-JUNE 25.pdf</s:t>
        </s:is>
      </s:c>
      <s:c r="C4" t="inlineStr">
        <s:is>
          <s:t>1, 2</s:t>
        </s:is>
      </s:c>
      <s:c r="D4" t="inlineStr">
        <s:is>
          <s:t>Calculated adjustment does not match the adjustment printed on the bill.</s:t>
        </s:is>
      </s:c>
    </s:row>
    <s:row r="5">
      <s:c r="A5" t="inlineStr">
        <s:is>
          <s:t>UGVCL</s:t>
        </s:is>
      </s:c>
      <s:c r="B5" t="inlineStr">
        <s:is>
          <s:t>MEDHA UGVCL-JULY 25.pdf</s:t>
        </s:is>
      </s:c>
      <s:c r="C5" t="inlineStr">
        <s:is>
          <s:t>1, 2</s:t>
        </s:is>
      </s:c>
      <s:c r="D5" t="inlineStr">
        <s:is>
          <s:t>-</s:t>
        </s:is>
      </s:c>
    </s:row>
    <s:row r="6">
      <s:c r="A6" t="inlineStr">
        <s:is>
          <s:t>UGVCL</s:t>
        </s:is>
      </s:c>
      <s:c r="B6" t="inlineStr">
        <s:is>
          <s:t>MEDHA UGVCL-AUG 25.pdf</s:t>
        </s:is>
      </s:c>
      <s:c r="C6" t="inlineStr">
        <s:is>
          <s:t>1, 2</s:t>
        </s:is>
      </s:c>
      <s:c r="D6" t="inlineStr">
        <s:is>
          <s:t>-</s:t>
        </s:is>
      </s:c>
    </s:row>
    <s:row r="7">
      <s:c r="A7" t="inlineStr">
        <s:is>
          <s:t>UGVCL</s:t>
        </s:is>
      </s:c>
      <s:c r="B7" t="inlineStr">
        <s:is>
          <s:t>MEDHA UGVCL-SEP 25.pdf</s:t>
        </s:is>
      </s:c>
      <s:c r="C7" t="inlineStr">
        <s:is>
          <s:t>1, 2</s:t>
        </s:is>
      </s:c>
      <s:c r="D7" t="inlineStr">
        <s:is>
          <s:t>-</s:t>
        </s:is>
      </s:c>
    </s:row>
    <s:row r="8">
      <s:c r="A8" t="inlineStr">
        <s:is>
          <s:t>UGVCL</s:t>
        </s:is>
      </s:c>
      <s:c r="B8" t="inlineStr">
        <s:is>
          <s:t>MEDHA UGVCL-OCT 25.pdf</s:t>
        </s:is>
      </s:c>
      <s:c r="C8" t="inlineStr">
        <s:is>
          <s:t>1, 2, 3</s:t>
        </s:is>
      </s:c>
      <s:c r="D8" t="inlineStr">
        <s:is>
          <s:t>Calculated adjustment does not match the adjustment printed on the bill.</s:t>
        </s:is>
      </s:c>
    </s:row>
    <s:row r="9">
      <s:c r="A9" t="inlineStr">
        <s:is>
          <s:t>UGVCL</s:t>
        </s:is>
      </s:c>
      <s:c r="B9" t="inlineStr">
        <s:is>
          <s:t>MEDHA UGVCL NOV 25.pdf</s:t>
        </s:is>
      </s:c>
      <s:c r="C9" t="inlineStr">
        <s:is>
          <s:t>1, 2, 3</s:t>
        </s:is>
      </s:c>
      <s:c r="D9" t="inlineStr">
        <s:is>
          <s:t>Calculated adjustment does not match the adjustment printed on the bill.</s:t>
        </s:is>
      </s:c>
    </s:row>
    <s:row r="10">
      <s:c r="A10" t="inlineStr">
        <s:is>
          <s:t>UGVCL</s:t>
        </s:is>
      </s:c>
      <s:c r="B10" t="inlineStr">
        <s:is>
          <s:t>MEDHA UGVCL-DEC 25.pdf</s:t>
        </s:is>
      </s:c>
      <s:c r="C10" t="inlineStr">
        <s:is>
          <s:t>1, 2, 3</s:t>
        </s:is>
      </s:c>
      <s:c r="D10" t="inlineStr">
        <s:is>
          <s:t>Calculated adjustment does not match the adjustment printed on the bill.</s:t>
        </s:is>
      </s:c>
    </s:row>
    <s:row r="11">
      <s:c r="A11" t="inlineStr">
        <s:is>
          <s:t>UGVCL</s:t>
        </s:is>
      </s:c>
      <s:c r="B11" t="inlineStr">
        <s:is>
          <s:t>MEDHA UGVCL-JAN 26.pdf</s:t>
        </s:is>
      </s:c>
      <s:c r="C11" t="inlineStr">
        <s:is>
          <s:t>1, 2, 3</s:t>
        </s:is>
      </s:c>
      <s:c r="D11" t="inlineStr">
        <s:is>
          <s:t>Calculated adjustment does not match the adjustment printed on the bill.</s:t>
        </s:is>
      </s:c>
    </s:row>
    <s:row r="12">
      <s:c r="A12" t="inlineStr">
        <s:is>
          <s:t>UGVCL</s:t>
        </s:is>
      </s:c>
      <s:c r="B12" t="inlineStr">
        <s:is>
          <s:t>MEDHA UGVCL-FEB 26.pdf</s:t>
        </s:is>
      </s:c>
      <s:c r="C12" t="inlineStr">
        <s:is>
          <s:t>1, 2, 3</s:t>
        </s:is>
      </s:c>
      <s:c r="D12" t="inlineStr">
        <s:is>
          <s:t>Calculated adjustment does not match the adjustment printed on the bill.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2026-09-12T09:45:37Z</dcterms:created>
  <dcterms:modified xsi:type="dcterms:W3CDTF">2026-09-12T09:49:52Z</dcterms:modified>
</cp:coreProperties>
</file>